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NeatRescue — Hackathon submissi" sheetId="1" r:id="rId1"/>
    <sheet name="NeatRescue — Hackathon subm (2)" sheetId="2" r:id="rId2"/>
    <sheet name="NeatRescue — Hackathon subm (3)" sheetId="3" r:id="rId3"/>
    <sheet name="NeatRescue — Assumptions &amp; simu" sheetId="4" r:id="rId4"/>
    <sheet name="NeatRescue — Assumptions &amp; (2)" sheetId="5" r:id="rId5"/>
    <sheet name="NeatRescue — Assumptions &amp; (3)" sheetId="6" r:id="rId6"/>
    <sheet name="NeatRescue — Revenue &amp; costs ·" sheetId="7" r:id="rId7"/>
    <sheet name="NeatRescue — Cash &amp; scenarios ·" sheetId="8" r:id="rId8"/>
    <sheet name="NeatRescue — Cash &amp; scenari (2)" sheetId="9" r:id="rId9"/>
    <sheet name="NeatRescue — Sensitivity · Sens" sheetId="10" r:id="rId10"/>
    <sheet name="NeatRescue — Sensitivity · Infe" sheetId="11" r:id="rId11"/>
    <sheet name="Model inputs" sheetId="12" r:id="rId12"/>
  </sheets>
  <calcPr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#,##0.###;(#,##0.###)"/>
    <numFmt numFmtId="165" formatCode="&quot;$&quot;#,##0.00;(&quot;$&quot;#,##0.00)"/>
    <numFmt numFmtId="166" formatCode="#,##0.00;(#,##0.00)"/>
    <numFmt numFmtId="167" formatCode="0.00%"/>
    <numFmt numFmtId="168" formatCode="#,##0.0;(#,##0.0)"/>
    <numFmt numFmtId="169" formatCode="0.0%"/>
    <numFmt numFmtId="170" formatCode="&quot;$&quot;#,##0.000;(&quot;$&quot;#,##0.000)"/>
    <numFmt numFmtId="171" formatCode="#,##0;(#,##0)"/>
    <numFmt numFmtId="172" formatCode="0%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70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9" fontId="0" fillId="0" borderId="0" xfId="0" applyNumberFormat="1" applyAlignment="1">
      <alignment vertical="center" horizontal="right"/>
    </xf>
    <xf numFmtId="171" fontId="3" fillId="4" borderId="1" xfId="0" applyNumberFormat="1" applyFill="1" applyFont="1" applyBorder="1" applyAlignment="1">
      <alignment vertical="center" horizontal="right"/>
    </xf>
    <xf numFmtId="172" fontId="3" fillId="4" borderId="1" xfId="0" applyNumberFormat="1" applyFill="1" applyFont="1" applyBorder="1" applyAlignment="1">
      <alignment vertical="center" horizontal="right"/>
    </xf>
    <xf numFmtId="172" fontId="0" fillId="0" borderId="0" xfId="0" applyNumberFormat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70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worksheet" Target="worksheets/sheet10.xml"></Relationship><Relationship Id="rId11" Type="http://schemas.openxmlformats.org/officeDocument/2006/relationships/worksheet" Target="worksheets/sheet11.xml"></Relationship><Relationship Id="rId12" Type="http://schemas.openxmlformats.org/officeDocument/2006/relationships/worksheet" Target="worksheets/sheet12.xml"></Relationship><Relationship Id="rId1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1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NeatRescue — Hackathon submission · User-reported facts — not independently audited</t>
        </is>
      </c>
    </row>
    <row r="2" ht="20" customHeight="1">
      <c r="A2" t="inlineStr" s="2">
        <is>
          <t xml:space="preserve">Financial model (5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Actual customers</t>
        </is>
      </c>
      <c r="B5" s="6">
        <f>0</f>
        <v>0</v>
      </c>
    </row>
    <row r="6">
      <c r="A6" t="inlineStr" s="7">
        <is>
          <t xml:space="preserve">Actual monthly revenue</t>
        </is>
      </c>
      <c r="B6" s="8">
        <f>0</f>
        <v>0</v>
      </c>
    </row>
    <row r="7">
      <c r="A7" t="inlineStr" s="7">
        <is>
          <t xml:space="preserve">Actual cash</t>
        </is>
      </c>
      <c r="B7" s="8">
        <f>0</f>
        <v>0</v>
      </c>
    </row>
    <row r="8">
      <c r="A8" t="inlineStr" s="7">
        <is>
          <t xml:space="preserve">Committed funding</t>
        </is>
      </c>
      <c r="B8" s="8">
        <f>0</f>
        <v>0</v>
      </c>
    </row>
    <row r="9">
      <c r="A9" t="inlineStr" s="7">
        <is>
          <t xml:space="preserve">Synthetic incorrect payment rows</t>
        </is>
      </c>
      <c r="B9" s="9">
        <f>4</f>
        <v>4</v>
      </c>
    </row>
    <row r="10">
      <c r="A10" t="inlineStr" s="7">
        <is>
          <t xml:space="preserve">Synthetic rows after incomplete fix</t>
        </is>
      </c>
      <c r="B10" s="9">
        <f>1</f>
        <v>1</v>
      </c>
    </row>
    <row r="11">
      <c r="A11" t="inlineStr" s="5">
        <is>
          <t xml:space="preserve">Synthetic correct rows after independent verification</t>
        </is>
      </c>
      <c r="B11" s="6">
        <f>3</f>
        <v>3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F1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</cols>
  <sheetData>
    <row r="1" ht="32" customHeight="1">
      <c r="A1" t="inlineStr" s="1">
        <is>
          <t xml:space="preserve">NeatRescue — Hackathon submission · 12-month scenario comparison — hypothetical</t>
        </is>
      </c>
    </row>
    <row r="2" ht="20" customHeight="1">
      <c r="A2" t="inlineStr" s="2">
        <is>
          <t xml:space="preserve">Financial model (5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Conservative</t>
        </is>
      </c>
      <c r="D4" t="inlineStr" s="4">
        <is>
          <t xml:space="preserve">Value &gt; Growth</t>
        </is>
      </c>
      <c r="E4" t="inlineStr" s="4">
        <is>
          <t xml:space="preserve">Value &gt; Bootstrap $5,000 — hypothetical</t>
        </is>
      </c>
      <c r="F4" t="inlineStr" s="4">
        <is>
          <t xml:space="preserve">Value &gt; Bootstrap no-sales stress — hypothetical</t>
        </is>
      </c>
    </row>
    <row r="5">
      <c r="A5" t="inlineStr" s="5">
        <is>
          <t xml:space="preserve">12-month revenue</t>
        </is>
      </c>
      <c r="B5" s="10">
        <f>SUM('NeatRescue — Hackathon subm (3)'!B5,'NeatRescue — Hackathon subm (3)'!C5,'NeatRescue — Hackathon subm (3)'!D5,'NeatRescue — Hackathon subm (3)'!E5,'NeatRescue — Hackathon subm (3)'!F5,'NeatRescue — Hackathon subm (3)'!G5,'NeatRescue — Hackathon subm (3)'!H5,'NeatRescue — Hackathon subm (3)'!I5,'NeatRescue — Hackathon subm (3)'!J5,'NeatRescue — Hackathon subm (3)'!K5,'NeatRescue — Hackathon subm (3)'!L5,'NeatRescue — Hackathon subm (3)'!M5)</f>
        <v>31649.645152375175</v>
      </c>
      <c r="C5" s="10">
        <f>SUM('NeatRescue — Hackathon subm (3)'!B6,'NeatRescue — Hackathon subm (3)'!C6,'NeatRescue — Hackathon subm (3)'!D6,'NeatRescue — Hackathon subm (3)'!E6,'NeatRescue — Hackathon subm (3)'!F6,'NeatRescue — Hackathon subm (3)'!G6,'NeatRescue — Hackathon subm (3)'!H6,'NeatRescue — Hackathon subm (3)'!I6,'NeatRescue — Hackathon subm (3)'!J6,'NeatRescue — Hackathon subm (3)'!K6,'NeatRescue — Hackathon subm (3)'!L6,'NeatRescue — Hackathon subm (3)'!M6)</f>
        <v>7062.132960032344</v>
      </c>
      <c r="D5" s="10">
        <f>SUM('NeatRescue — Hackathon subm (3)'!B7,'NeatRescue — Hackathon subm (3)'!C7,'NeatRescue — Hackathon subm (3)'!D7,'NeatRescue — Hackathon subm (3)'!E7,'NeatRescue — Hackathon subm (3)'!F7,'NeatRescue — Hackathon subm (3)'!G7,'NeatRescue — Hackathon subm (3)'!H7,'NeatRescue — Hackathon subm (3)'!I7,'NeatRescue — Hackathon subm (3)'!J7,'NeatRescue — Hackathon subm (3)'!K7,'NeatRescue — Hackathon subm (3)'!L7,'NeatRescue — Hackathon subm (3)'!M7)</f>
        <v>83648.39304824946</v>
      </c>
      <c r="E5" s="10">
        <f>SUM('Model inputs'!D67,'Model inputs'!E67,'Model inputs'!F67,'Model inputs'!G67,'Model inputs'!H67,'Model inputs'!I67,'Model inputs'!J67,'Model inputs'!K67,'Model inputs'!L67,'Model inputs'!M67,'Model inputs'!N67,'Model inputs'!B67)</f>
        <v>31649.645152375175</v>
      </c>
      <c r="F5" s="10">
        <f>SUM('Model inputs'!D62,'Model inputs'!E62,'Model inputs'!F62,'Model inputs'!G62,'Model inputs'!H62,'Model inputs'!I62,'Model inputs'!J62,'Model inputs'!K62,'Model inputs'!L62,'Model inputs'!M62,'Model inputs'!N62,'Model inputs'!B62)</f>
        <v>0</v>
      </c>
    </row>
    <row r="6">
      <c r="A6" t="inlineStr" s="7">
        <is>
          <t xml:space="preserve">12-month cost of revenue</t>
        </is>
      </c>
      <c r="B6" s="11">
        <f>SUM('NeatRescue — Cash &amp; scenarios ·'!B6,'NeatRescue — Cash &amp; scenarios ·'!C6,'NeatRescue — Cash &amp; scenarios ·'!D6,'NeatRescue — Cash &amp; scenarios ·'!E6,'NeatRescue — Cash &amp; scenarios ·'!F6,'NeatRescue — Cash &amp; scenarios ·'!G6,'NeatRescue — Cash &amp; scenarios ·'!H6,'NeatRescue — Cash &amp; scenarios ·'!I6,'NeatRescue — Cash &amp; scenarios ·'!J6,'NeatRescue — Cash &amp; scenarios ·'!K6,'NeatRescue — Cash &amp; scenarios ·'!L6,'NeatRescue — Cash &amp; scenarios ·'!M6)</f>
        <v>12404.905209807752</v>
      </c>
      <c r="C6" s="11">
        <f>SUM('Model inputs'!D28,'Model inputs'!E28,'Model inputs'!F28,'Model inputs'!G28,'Model inputs'!H28,'Model inputs'!I28,'Model inputs'!J28,'Model inputs'!K28,'Model inputs'!L28,'Model inputs'!M28,'Model inputs'!N28,'Model inputs'!B28)</f>
        <v>4741.674325490202</v>
      </c>
      <c r="D6" s="11">
        <f>SUM('Model inputs'!D26,'Model inputs'!E26,'Model inputs'!F26,'Model inputs'!G26,'Model inputs'!H26,'Model inputs'!I26,'Model inputs'!J26,'Model inputs'!K26,'Model inputs'!L26,'Model inputs'!M26,'Model inputs'!N26,'Model inputs'!B26)</f>
        <v>28349.567999187522</v>
      </c>
      <c r="E6" s="11">
        <f>SUM('Model inputs'!D27,'Model inputs'!E27,'Model inputs'!F27,'Model inputs'!G27,'Model inputs'!H27,'Model inputs'!I27,'Model inputs'!J27,'Model inputs'!K27,'Model inputs'!L27,'Model inputs'!M27,'Model inputs'!N27,'Model inputs'!B27)</f>
        <v>12404.905209807752</v>
      </c>
      <c r="F6" s="11">
        <f>SUM('Model inputs'!D25,'Model inputs'!E25,'Model inputs'!F25,'Model inputs'!G25,'Model inputs'!H25,'Model inputs'!I25,'Model inputs'!J25,'Model inputs'!K25,'Model inputs'!L25,'Model inputs'!M25,'Model inputs'!N25,'Model inputs'!B25)</f>
        <v>2700</v>
      </c>
    </row>
    <row r="7">
      <c r="A7" t="inlineStr" s="7">
        <is>
          <t xml:space="preserve">12-month gross profit</t>
        </is>
      </c>
      <c r="B7" s="11">
        <f>'NeatRescue — Hackathon subm (2)'!B5-'NeatRescue — Hackathon subm (2)'!B6</f>
        <v>19244.739942567423</v>
      </c>
      <c r="C7" s="11">
        <f>'NeatRescue — Hackathon subm (2)'!C5-'NeatRescue — Hackathon subm (2)'!C6</f>
        <v>2320.458634542142</v>
      </c>
      <c r="D7" s="11">
        <f>'NeatRescue — Hackathon subm (2)'!D5-'NeatRescue — Hackathon subm (2)'!D6</f>
        <v>55298.82504906194</v>
      </c>
      <c r="E7" s="11">
        <f>'NeatRescue — Hackathon subm (2)'!E5-'NeatRescue — Hackathon subm (2)'!E6</f>
        <v>19244.739942567423</v>
      </c>
      <c r="F7" s="11">
        <f>'NeatRescue — Hackathon subm (2)'!F5-'NeatRescue — Hackathon subm (2)'!F6</f>
        <v>-2700</v>
      </c>
    </row>
    <row r="8">
      <c r="A8" t="inlineStr" s="7">
        <is>
          <t xml:space="preserve">12-month gross margin</t>
        </is>
      </c>
      <c r="B8" s="12">
        <f>IFERROR('NeatRescue — Hackathon subm (2)'!B7/'NeatRescue — Hackathon subm (2)'!B5,"")</f>
        <v>0.60805547265743</v>
      </c>
      <c r="C8" s="12">
        <f>IFERROR('NeatRescue — Hackathon subm (2)'!C7/'NeatRescue — Hackathon subm (2)'!C5,"")</f>
        <v>0.32857759088856275</v>
      </c>
      <c r="D8" s="12">
        <f>IFERROR('NeatRescue — Hackathon subm (2)'!D7/'NeatRescue — Hackathon subm (2)'!D5,"")</f>
        <v>0.661086519823099</v>
      </c>
      <c r="E8" s="12">
        <f>IFERROR('NeatRescue — Hackathon subm (2)'!E7/'NeatRescue — Hackathon subm (2)'!E5,"")</f>
        <v>0.60805547265743</v>
      </c>
      <c r="F8" t="str" s="12">
        <f>IFERROR('NeatRescue — Hackathon subm (2)'!F7/'NeatRescue — Hackathon subm (2)'!F5,"")</f>
        <v/>
      </c>
    </row>
    <row r="9">
      <c r="A9" t="inlineStr" s="7">
        <is>
          <t xml:space="preserve">12-month operating expenses</t>
        </is>
      </c>
      <c r="B9" s="11">
        <f>SUM('NeatRescue — Cash &amp; scenarios ·'!B13,'NeatRescue — Cash &amp; scenarios ·'!C13,'NeatRescue — Cash &amp; scenarios ·'!D13,'NeatRescue — Cash &amp; scenarios ·'!E13,'NeatRescue — Cash &amp; scenarios ·'!F13,'NeatRescue — Cash &amp; scenarios ·'!G13,'NeatRescue — Cash &amp; scenarios ·'!H13,'NeatRescue — Cash &amp; scenarios ·'!I13,'NeatRescue — Cash &amp; scenarios ·'!J13,'NeatRescue — Cash &amp; scenarios ·'!K13,'NeatRescue — Cash &amp; scenarios ·'!L13,'NeatRescue — Cash &amp; scenarios ·'!M13)</f>
        <v>2900</v>
      </c>
      <c r="C9" s="11">
        <f>SUM('Model inputs'!D52,'Model inputs'!E52,'Model inputs'!F52,'Model inputs'!G52,'Model inputs'!H52,'Model inputs'!I52,'Model inputs'!J52,'Model inputs'!K52,'Model inputs'!L52,'Model inputs'!M52,'Model inputs'!N52,'Model inputs'!B52)</f>
        <v>2000</v>
      </c>
      <c r="D9" s="11">
        <f>SUM('Model inputs'!D50,'Model inputs'!E50,'Model inputs'!F50,'Model inputs'!G50,'Model inputs'!H50,'Model inputs'!I50,'Model inputs'!J50,'Model inputs'!K50,'Model inputs'!L50,'Model inputs'!M50,'Model inputs'!N50,'Model inputs'!B50)</f>
        <v>4700</v>
      </c>
      <c r="E9" s="11">
        <f>SUM('Model inputs'!D51,'Model inputs'!E51,'Model inputs'!F51,'Model inputs'!G51,'Model inputs'!H51,'Model inputs'!I51,'Model inputs'!J51,'Model inputs'!K51,'Model inputs'!L51,'Model inputs'!M51,'Model inputs'!N51,'Model inputs'!B51)</f>
        <v>2900</v>
      </c>
      <c r="F9" s="11">
        <f>SUM('Model inputs'!D49,'Model inputs'!E49,'Model inputs'!F49,'Model inputs'!G49,'Model inputs'!H49,'Model inputs'!I49,'Model inputs'!J49,'Model inputs'!K49,'Model inputs'!L49,'Model inputs'!M49,'Model inputs'!N49,'Model inputs'!B49)</f>
        <v>2900</v>
      </c>
    </row>
    <row r="10">
      <c r="A10" t="inlineStr" s="7">
        <is>
          <t xml:space="preserve">12-month operating profit</t>
        </is>
      </c>
      <c r="B10" s="11">
        <f>'NeatRescue — Hackathon subm (2)'!B7-'NeatRescue — Hackathon subm (2)'!B9</f>
        <v>16344.739942567423</v>
      </c>
      <c r="C10" s="11">
        <f>'NeatRescue — Hackathon subm (2)'!C7-'NeatRescue — Hackathon subm (2)'!C9</f>
        <v>320.45863454214214</v>
      </c>
      <c r="D10" s="11">
        <f>'NeatRescue — Hackathon subm (2)'!D7-'NeatRescue — Hackathon subm (2)'!D9</f>
        <v>50598.82504906194</v>
      </c>
      <c r="E10" s="11">
        <f>'NeatRescue — Hackathon subm (2)'!E7-'NeatRescue — Hackathon subm (2)'!E9</f>
        <v>16344.739942567423</v>
      </c>
      <c r="F10" s="11">
        <f>'NeatRescue — Hackathon subm (2)'!F7-'NeatRescue — Hackathon subm (2)'!F9</f>
        <v>-5600</v>
      </c>
    </row>
    <row r="11">
      <c r="A11" t="inlineStr" s="7">
        <is>
          <t xml:space="preserve">Month 12 customers</t>
        </is>
      </c>
      <c r="B11" s="13">
        <f>IF('NeatRescue — Revenue &amp; costs ·'!M14="","",'NeatRescue — Revenue &amp; costs ·'!M14)</f>
        <v>51.96136578116731</v>
      </c>
      <c r="C11" s="13">
        <f>IF('Model inputs'!B23="","",'Model inputs'!B23)</f>
        <v>12.023801127173828</v>
      </c>
      <c r="D11" s="13">
        <f>IF('Model inputs'!B21="","",'Model inputs'!B21)</f>
        <v>155.21359148260902</v>
      </c>
      <c r="E11" s="13">
        <f>IF('Model inputs'!B22="","",'Model inputs'!B22)</f>
        <v>51.96136578116731</v>
      </c>
      <c r="F11" s="13">
        <f>IF('Model inputs'!B20="","",'Model inputs'!B20)</f>
        <v>0</v>
      </c>
    </row>
    <row r="12">
      <c r="A12" t="inlineStr" s="7">
        <is>
          <t xml:space="preserve">Month 12 revenue</t>
        </is>
      </c>
      <c r="B12" s="11">
        <f>IF('NeatRescue — Hackathon subm (3)'!M5="","",'NeatRescue — Hackathon subm (3)'!M5)</f>
        <v>5559.866138584902</v>
      </c>
      <c r="C12" s="11">
        <f>IF('NeatRescue — Hackathon subm (3)'!M6="","",'NeatRescue — Hackathon subm (3)'!M6)</f>
        <v>1017.2135753589058</v>
      </c>
      <c r="D12" s="11">
        <f>IF('NeatRescue — Hackathon subm (3)'!M7="","",'NeatRescue — Hackathon subm (3)'!M7)</f>
        <v>16607.854288639166</v>
      </c>
      <c r="E12" s="11">
        <f>IF('Model inputs'!B67="","",'Model inputs'!B67)</f>
        <v>5559.866138584902</v>
      </c>
      <c r="F12" s="11">
        <f>IF('Model inputs'!B62="","",'Model inputs'!B62)</f>
        <v>0</v>
      </c>
    </row>
    <row r="13">
      <c r="A13" t="inlineStr" s="7">
        <is>
          <t xml:space="preserve">Month 12 gross margin</t>
        </is>
      </c>
      <c r="B13" s="12">
        <f>IF('NeatRescue — Cash &amp; scenarios ·'!M8="","",'NeatRescue — Cash &amp; scenarios ·'!M8)</f>
        <v>0.6528958857683422</v>
      </c>
      <c r="C13" s="12">
        <f>IF('Model inputs'!B38="","",'Model inputs'!B38)</f>
        <v>0.48970585868826033</v>
      </c>
      <c r="D13" s="12">
        <f>IF('Model inputs'!B36="","",'Model inputs'!B36)</f>
        <v>0.6798166792574792</v>
      </c>
      <c r="E13" s="12">
        <f>IF('Model inputs'!B37="","",'Model inputs'!B37)</f>
        <v>0.6528958857683422</v>
      </c>
      <c r="F13" t="str" s="12">
        <f>IF('Model inputs'!B35="","",'Model inputs'!B35)</f>
        <v/>
      </c>
    </row>
    <row r="14">
      <c r="A14" t="inlineStr" s="7">
        <is>
          <t xml:space="preserve">Month 12 operating profit</t>
        </is>
      </c>
      <c r="B14" s="11">
        <f>IF('NeatRescue — Hackathon subm (3)'!M8="","",'NeatRescue — Hackathon subm (3)'!M8)</f>
        <v>3405.013727304802</v>
      </c>
      <c r="C14" s="11">
        <f>IF('NeatRescue — Hackathon subm (3)'!M9="","",'NeatRescue — Hackathon subm (3)'!M9)</f>
        <v>348.13544739048837</v>
      </c>
      <c r="D14" s="11">
        <f>IF('NeatRescue — Hackathon subm (3)'!M10="","",'NeatRescue — Hackathon subm (3)'!M10)</f>
        <v>10915.296352094763</v>
      </c>
      <c r="E14" s="11">
        <f>IF('Model inputs'!B56="","",'Model inputs'!B56)</f>
        <v>3405.013727304802</v>
      </c>
      <c r="F14" s="11">
        <f>IF('Model inputs'!B54="","",'Model inputs'!B54)</f>
        <v>-450</v>
      </c>
    </row>
    <row r="15">
      <c r="A15" t="inlineStr" s="7">
        <is>
          <t xml:space="preserve">Month 12 cash</t>
        </is>
      </c>
      <c r="B15" s="11">
        <f>IF('NeatRescue — Cash &amp; scenarios ·'!M17="","",'NeatRescue — Cash &amp; scenarios ·'!M17)</f>
        <v>16344.739942567423</v>
      </c>
      <c r="C15" s="11">
        <f>IF('Model inputs'!B15="","",'Model inputs'!B15)</f>
        <v>320.458634542143</v>
      </c>
      <c r="D15" s="11">
        <f>IF('Model inputs'!B13="","",'Model inputs'!B13)</f>
        <v>50598.82504906194</v>
      </c>
      <c r="E15" s="11">
        <f>IF('NeatRescue — Cash &amp; scenari (2)'!M6="","",'NeatRescue — Cash &amp; scenari (2)'!M6)</f>
        <v>21344.739942567423</v>
      </c>
      <c r="F15" s="11">
        <f>IF('NeatRescue — Cash &amp; scenari (2)'!M7="","",'NeatRescue — Cash &amp; scenari (2)'!M7)</f>
        <v>-600</v>
      </c>
    </row>
    <row r="16">
      <c r="A16" t="inlineStr" s="7">
        <is>
          <t xml:space="preserve">Peak funding gap</t>
        </is>
      </c>
      <c r="B16" s="11">
        <f>MAX('NeatRescue — Cash &amp; scenarios ·'!B18,'NeatRescue — Cash &amp; scenarios ·'!C18,'NeatRescue — Cash &amp; scenarios ·'!D18,'NeatRescue — Cash &amp; scenarios ·'!E18,'NeatRescue — Cash &amp; scenarios ·'!F18,'NeatRescue — Cash &amp; scenarios ·'!G18,'NeatRescue — Cash &amp; scenarios ·'!H18,'NeatRescue — Cash &amp; scenarios ·'!I18,'NeatRescue — Cash &amp; scenarios ·'!J18,'NeatRescue — Cash &amp; scenarios ·'!K18,'NeatRescue — Cash &amp; scenarios ·'!L18,'NeatRescue — Cash &amp; scenarios ·'!M18)</f>
        <v>427.43</v>
      </c>
      <c r="C16" s="11">
        <f>MAX('Model inputs'!D33,'Model inputs'!E33,'Model inputs'!F33,'Model inputs'!G33,'Model inputs'!H33,'Model inputs'!I33,'Model inputs'!J33,'Model inputs'!K33,'Model inputs'!L33,'Model inputs'!M33,'Model inputs'!N33,'Model inputs'!B33)</f>
        <v>1017.1518363982248</v>
      </c>
      <c r="D16" s="11">
        <f>MAX('Model inputs'!D31,'Model inputs'!E31,'Model inputs'!F31,'Model inputs'!G31,'Model inputs'!H31,'Model inputs'!I31,'Model inputs'!J31,'Model inputs'!K31,'Model inputs'!L31,'Model inputs'!M31,'Model inputs'!N31,'Model inputs'!B31)</f>
        <v>354.86</v>
      </c>
      <c r="E16" s="11">
        <f>MAX('Model inputs'!D32,'Model inputs'!E32,'Model inputs'!F32,'Model inputs'!G32,'Model inputs'!H32,'Model inputs'!I32,'Model inputs'!J32,'Model inputs'!K32,'Model inputs'!L32,'Model inputs'!M32,'Model inputs'!N32,'Model inputs'!B32)</f>
        <v>0</v>
      </c>
      <c r="F16" s="11">
        <f>MAX('Model inputs'!D30,'Model inputs'!E30,'Model inputs'!F30,'Model inputs'!G30,'Model inputs'!H30,'Model inputs'!I30,'Model inputs'!J30,'Model inputs'!K30,'Model inputs'!L30,'Model inputs'!M30,'Model inputs'!N30,'Model inputs'!B30)</f>
        <v>600</v>
      </c>
    </row>
    <row r="17">
      <c r="A17" t="inlineStr" s="7">
        <is>
          <t xml:space="preserve">Lowest projected cash</t>
        </is>
      </c>
      <c r="B17" s="11">
        <f>MIN('NeatRescue — Cash &amp; scenarios ·'!B17,'NeatRescue — Cash &amp; scenarios ·'!C17,'NeatRescue — Cash &amp; scenarios ·'!D17,'NeatRescue — Cash &amp; scenarios ·'!E17,'NeatRescue — Cash &amp; scenarios ·'!F17,'NeatRescue — Cash &amp; scenarios ·'!G17,'NeatRescue — Cash &amp; scenarios ·'!H17,'NeatRescue — Cash &amp; scenarios ·'!I17,'NeatRescue — Cash &amp; scenarios ·'!J17,'NeatRescue — Cash &amp; scenarios ·'!K17,'NeatRescue — Cash &amp; scenarios ·'!L17,'NeatRescue — Cash &amp; scenarios ·'!M17)</f>
        <v>-427.43</v>
      </c>
      <c r="C17" s="11">
        <f>MIN('Model inputs'!D15,'Model inputs'!E15,'Model inputs'!F15,'Model inputs'!G15,'Model inputs'!H15,'Model inputs'!I15,'Model inputs'!J15,'Model inputs'!K15,'Model inputs'!L15,'Model inputs'!M15,'Model inputs'!N15,'Model inputs'!B15)</f>
        <v>-1017.1518363982248</v>
      </c>
      <c r="D17" s="11">
        <f>MIN('Model inputs'!D13,'Model inputs'!E13,'Model inputs'!F13,'Model inputs'!G13,'Model inputs'!H13,'Model inputs'!I13,'Model inputs'!J13,'Model inputs'!K13,'Model inputs'!L13,'Model inputs'!M13,'Model inputs'!N13,'Model inputs'!B13)</f>
        <v>-354.86</v>
      </c>
      <c r="E17" s="11">
        <f>MIN('NeatRescue — Cash &amp; scenari (2)'!B6,'NeatRescue — Cash &amp; scenari (2)'!C6,'NeatRescue — Cash &amp; scenari (2)'!D6,'NeatRescue — Cash &amp; scenari (2)'!E6,'NeatRescue — Cash &amp; scenari (2)'!F6,'NeatRescue — Cash &amp; scenari (2)'!G6,'NeatRescue — Cash &amp; scenari (2)'!H6,'NeatRescue — Cash &amp; scenari (2)'!I6,'NeatRescue — Cash &amp; scenari (2)'!J6,'NeatRescue — Cash &amp; scenari (2)'!K6,'NeatRescue — Cash &amp; scenari (2)'!L6,'NeatRescue — Cash &amp; scenari (2)'!M6)</f>
        <v>4572.57</v>
      </c>
      <c r="F17" s="11">
        <f>MIN('NeatRescue — Cash &amp; scenari (2)'!B7,'NeatRescue — Cash &amp; scenari (2)'!C7,'NeatRescue — Cash &amp; scenari (2)'!D7,'NeatRescue — Cash &amp; scenari (2)'!E7,'NeatRescue — Cash &amp; scenari (2)'!F7,'NeatRescue — Cash &amp; scenari (2)'!G7,'NeatRescue — Cash &amp; scenari (2)'!H7,'NeatRescue — Cash &amp; scenari (2)'!I7,'NeatRescue — Cash &amp; scenari (2)'!J7,'NeatRescue — Cash &amp; scenari (2)'!K7,'NeatRescue — Cash &amp; scenari (2)'!L7,'NeatRescue — Cash &amp; scenari (2)'!M7)</f>
        <v>-600</v>
      </c>
    </row>
    <row r="18">
      <c r="A18" t="inlineStr" s="5">
        <is>
          <t xml:space="preserve">Month 12 break-even customers</t>
        </is>
      </c>
      <c r="B18" s="14">
        <f>IF('NeatRescue — Cash &amp; scenarios ·'!M21="","",'NeatRescue — Cash &amp; scenarios ·'!M21)</f>
        <v>7</v>
      </c>
      <c r="C18" s="14">
        <f>IF('Model inputs'!B10="","",'Model inputs'!B10)</f>
        <v>7</v>
      </c>
      <c r="D18" s="14">
        <f>IF('Model inputs'!B8="","",'Model inputs'!B8)</f>
        <v>9</v>
      </c>
      <c r="E18" s="14">
        <f>IF('Model inputs'!B9="","",'Model inputs'!B9)</f>
        <v>7</v>
      </c>
      <c r="F18" t="str" s="14">
        <f>IF('Model inputs'!B7="","",'Model inputs'!B7)</f>
        <v/>
      </c>
    </row>
  </sheetData>
  <mergeCells count="1">
    <mergeCell ref="A1:F1"/>
  </mergeCells>
</worksheet>
</file>

<file path=xl/worksheets/sheet3.xml><?xml version="1.0" encoding="utf-8"?>
<worksheet xmlns="http://schemas.openxmlformats.org/spreadsheetml/2006/main">
  <dimension ref="A1:M1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NeatRescue — Hackathon submission · Monthly revenue &amp; operating profit — three cases</t>
        </is>
      </c>
    </row>
    <row r="2" ht="20" customHeight="1">
      <c r="A2" t="inlineStr" s="2">
        <is>
          <t xml:space="preserve">Financial model (5 pages) · Main Scenario</t>
        </is>
      </c>
    </row>
    <row r="4" ht="22" customHeight="1">
      <c r="A4" t="inlineStr" s="3">
        <is>
          <t xml:space="preserve">Variable / dimension</t>
        </is>
      </c>
      <c r="B4" t="inlineStr" s="15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5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5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5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</row>
    <row r="5">
      <c r="A5" t="inlineStr" s="5">
        <is>
          <t xml:space="preserve">Revenue</t>
        </is>
      </c>
      <c r="B5" s="16">
        <f>SUM('NeatRescue — Revenue &amp; costs ·'!B27,'NeatRescue — Revenue &amp; costs ·'!B28)</f>
        <v>321</v>
      </c>
      <c r="C5" s="16">
        <f>SUM('NeatRescue — Revenue &amp; costs ·'!C27,'NeatRescue — Revenue &amp; costs ·'!C28)</f>
        <v>658.0500000000001</v>
      </c>
      <c r="D5" s="16">
        <f>SUM('NeatRescue — Revenue &amp; costs ·'!D27,'NeatRescue — Revenue &amp; costs ·'!D28)</f>
        <v>1013.5575000000001</v>
      </c>
      <c r="E5" s="16">
        <f>SUM('NeatRescue — Revenue &amp; costs ·'!E27,'NeatRescue — Revenue &amp; costs ·'!E28)</f>
        <v>1390.1306250000005</v>
      </c>
      <c r="F5" s="16">
        <f>SUM('NeatRescue — Revenue &amp; costs ·'!F27,'NeatRescue — Revenue &amp; costs ·'!F28)</f>
        <v>1790.6001937500005</v>
      </c>
      <c r="G5" s="16">
        <f>SUM('NeatRescue — Revenue &amp; costs ·'!G27,'NeatRescue — Revenue &amp; costs ·'!G28)</f>
        <v>2218.043894062501</v>
      </c>
      <c r="H5" s="16">
        <f>SUM('NeatRescue — Revenue &amp; costs ·'!H27,'NeatRescue — Revenue &amp; costs ·'!H28)</f>
        <v>2675.8127803593757</v>
      </c>
      <c r="I5" s="16">
        <f>SUM('NeatRescue — Revenue &amp; costs ·'!I27,'NeatRescue — Revenue &amp; costs ·'!I28)</f>
        <v>3167.5603304414076</v>
      </c>
      <c r="J5" s="16">
        <f>SUM('NeatRescue — Revenue &amp; costs ·'!J27,'NeatRescue — Revenue &amp; costs ·'!J28)</f>
        <v>3697.274321929338</v>
      </c>
      <c r="K5" s="16">
        <f>SUM('NeatRescue — Revenue &amp; costs ·'!K27,'NeatRescue — Revenue &amp; costs ·'!K28)</f>
        <v>4269.311814643872</v>
      </c>
      <c r="L5" s="16">
        <f>SUM('NeatRescue — Revenue &amp; costs ·'!L27,'NeatRescue — Revenue &amp; costs ·'!L28)</f>
        <v>4888.43755360378</v>
      </c>
      <c r="M5" s="16">
        <f>SUM('NeatRescue — Revenue &amp; costs ·'!M27,'NeatRescue — Revenue &amp; costs ·'!M28)</f>
        <v>5559.866138584902</v>
      </c>
    </row>
    <row r="6">
      <c r="A6" t="inlineStr" s="7">
        <is>
          <t xml:space="preserve">Revenue &gt; Conservative</t>
        </is>
      </c>
      <c r="B6" s="8">
        <f>SUM('Model inputs'!D70,'Model inputs'!D71)</f>
        <v>105.75</v>
      </c>
      <c r="C6" s="8">
        <f>SUM('Model inputs'!E70,'Model inputs'!E71)</f>
        <v>206.21250000000003</v>
      </c>
      <c r="D6" s="8">
        <f>SUM('Model inputs'!F70,'Model inputs'!F71)</f>
        <v>301.90567500000003</v>
      </c>
      <c r="E6" s="8">
        <f>SUM('Model inputs'!G70,'Model inputs'!G71)</f>
        <v>393.30910125</v>
      </c>
      <c r="F6" s="8">
        <f>SUM('Model inputs'!H70,'Model inputs'!H71)</f>
        <v>480.86692980750007</v>
      </c>
      <c r="G6" s="8">
        <f>SUM('Model inputs'!I70,'Model inputs'!I71)</f>
        <v>564.990808780125</v>
      </c>
      <c r="H6" s="8">
        <f>SUM('Model inputs'!J70,'Model inputs'!J71)</f>
        <v>646.0625744356569</v>
      </c>
      <c r="I6" s="8">
        <f>SUM('Model inputs'!K70,'Model inputs'!K71)</f>
        <v>724.4367297494841</v>
      </c>
      <c r="J6" s="8">
        <f>SUM('Model inputs'!L70,'Model inputs'!L71)</f>
        <v>800.4427274762659</v>
      </c>
      <c r="K6" s="8">
        <f>SUM('Model inputs'!M70,'Model inputs'!M71)</f>
        <v>874.3870734681074</v>
      </c>
      <c r="L6" s="8">
        <f>SUM('Model inputs'!N70,'Model inputs'!N71)</f>
        <v>946.5552647062996</v>
      </c>
      <c r="M6" s="8">
        <f>SUM('Model inputs'!B70,'Model inputs'!B71)</f>
        <v>1017.2135753589058</v>
      </c>
    </row>
    <row r="7">
      <c r="A7" t="inlineStr" s="7">
        <is>
          <t xml:space="preserve">Revenue &gt; Growth</t>
        </is>
      </c>
      <c r="B7" s="8">
        <f>SUM('Model inputs'!D65,'Model inputs'!D66)</f>
        <v>642</v>
      </c>
      <c r="C7" s="8">
        <f>SUM('Model inputs'!E65,'Model inputs'!E66)</f>
        <v>1361.04</v>
      </c>
      <c r="D7" s="8">
        <f>SUM('Model inputs'!F65,'Model inputs'!F66)</f>
        <v>2169.2537999999995</v>
      </c>
      <c r="E7" s="8">
        <f>SUM('Model inputs'!G65,'Model inputs'!G66)</f>
        <v>3080.5779359999997</v>
      </c>
      <c r="F7" s="8">
        <f>SUM('Model inputs'!H65,'Model inputs'!H66)</f>
        <v>4111.022610419999</v>
      </c>
      <c r="G7" s="8">
        <f>SUM('Model inputs'!I65,'Model inputs'!I66)</f>
        <v>5278.983246482399</v>
      </c>
      <c r="H7" s="8">
        <f>SUM('Model inputs'!J65,'Model inputs'!J66)</f>
        <v>6605.5987606191775</v>
      </c>
      <c r="I7" s="8">
        <f>SUM('Model inputs'!K65,'Model inputs'!K66)</f>
        <v>8115.1635610615385</v>
      </c>
      <c r="J7" s="8">
        <f>SUM('Model inputs'!L65,'Model inputs'!L66)</f>
        <v>9835.60133197977</v>
      </c>
      <c r="K7" s="8">
        <f>SUM('Model inputs'!M65,'Model inputs'!M66)</f>
        <v>11799.009871432965</v>
      </c>
      <c r="L7" s="8">
        <f>SUM('Model inputs'!N65,'Model inputs'!N66)</f>
        <v>14042.28764161445</v>
      </c>
      <c r="M7" s="8">
        <f>SUM('Model inputs'!B65,'Model inputs'!B66)</f>
        <v>16607.854288639166</v>
      </c>
    </row>
    <row r="8">
      <c r="A8" t="inlineStr" s="7">
        <is>
          <t xml:space="preserve">Operating profit</t>
        </is>
      </c>
      <c r="B8" s="8">
        <f>'NeatRescue — Cash &amp; scenarios ·'!B7-'NeatRescue — Cash &amp; scenarios ·'!B13</f>
        <v>-427.43</v>
      </c>
      <c r="C8" s="8">
        <f>'NeatRescue — Cash &amp; scenarios ·'!C7-'NeatRescue — Cash &amp; scenarios ·'!C13</f>
        <v>6.268500000000017</v>
      </c>
      <c r="D8" s="8">
        <f>'NeatRescue — Cash &amp; scenarios ·'!D7-'NeatRescue — Cash &amp; scenarios ·'!D13</f>
        <v>252.7647750000001</v>
      </c>
      <c r="E8" s="8">
        <f>'NeatRescue — Cash &amp; scenarios ·'!E7-'NeatRescue — Cash &amp; scenarios ·'!E13</f>
        <v>513.8672062500003</v>
      </c>
      <c r="F8" s="8">
        <f>'NeatRescue — Cash &amp; scenarios ·'!F7-'NeatRescue — Cash &amp; scenarios ·'!F13</f>
        <v>791.5385829375003</v>
      </c>
      <c r="G8" s="8">
        <f>'NeatRescue — Cash &amp; scenarios ·'!G7-'NeatRescue — Cash &amp; scenarios ·'!G13</f>
        <v>1087.9128644906257</v>
      </c>
      <c r="H8" s="8">
        <f>'NeatRescue — Cash &amp; scenarios ·'!H7-'NeatRescue — Cash &amp; scenarios ·'!H13</f>
        <v>1405.3135530360942</v>
      </c>
      <c r="I8" s="8">
        <f>'NeatRescue — Cash &amp; scenarios ·'!I7-'NeatRescue — Cash &amp; scenarios ·'!I13</f>
        <v>1746.27384033129</v>
      </c>
      <c r="J8" s="8">
        <f>'NeatRescue — Cash &amp; scenarios ·'!J7-'NeatRescue — Cash &amp; scenarios ·'!J13</f>
        <v>2113.5587097564257</v>
      </c>
      <c r="K8" s="8">
        <f>'NeatRescue — Cash &amp; scenarios ·'!K7-'NeatRescue — Cash &amp; scenarios ·'!K13</f>
        <v>2510.189191854475</v>
      </c>
      <c r="L8" s="8">
        <f>'NeatRescue — Cash &amp; scenarios ·'!L7-'NeatRescue — Cash &amp; scenarios ·'!L13</f>
        <v>2939.4689916062093</v>
      </c>
      <c r="M8" s="8">
        <f>'NeatRescue — Cash &amp; scenarios ·'!M7-'NeatRescue — Cash &amp; scenarios ·'!M13</f>
        <v>3405.013727304802</v>
      </c>
    </row>
    <row r="9">
      <c r="A9" t="inlineStr" s="7">
        <is>
          <t xml:space="preserve">Operating profit &gt; Conservative</t>
        </is>
      </c>
      <c r="B9" s="8">
        <f>'Model inputs'!D41-'Model inputs'!D52</f>
        <v>-499.8225</v>
      </c>
      <c r="C9" s="8">
        <f>'Model inputs'!E41-'Model inputs'!E52</f>
        <v>-228.40387499999997</v>
      </c>
      <c r="D9" s="8">
        <f>'Model inputs'!F41-'Model inputs'!F52</f>
        <v>-160.37575524999994</v>
      </c>
      <c r="E9" s="8">
        <f>'Model inputs'!G41-'Model inputs'!G52</f>
        <v>-95.3972107875</v>
      </c>
      <c r="F9" s="8">
        <f>'Model inputs'!H41-'Model inputs'!H52</f>
        <v>-33.15249536072497</v>
      </c>
      <c r="G9" s="8">
        <f>'Model inputs'!I41-'Model inputs'!I52</f>
        <v>26.651030988821276</v>
      </c>
      <c r="H9" s="8">
        <f>'Model inputs'!J41-'Model inputs'!J52</f>
        <v>84.28481503202454</v>
      </c>
      <c r="I9" s="8">
        <f>'Model inputs'!K41-'Model inputs'!K52</f>
        <v>140.00087234744058</v>
      </c>
      <c r="J9" s="8">
        <f>'Model inputs'!L41-'Model inputs'!L52</f>
        <v>194.03341035316294</v>
      </c>
      <c r="K9" s="8">
        <f>'Model inputs'!M41-'Model inputs'!M52</f>
        <v>246.60032355223302</v>
      </c>
      <c r="L9" s="8">
        <f>'Model inputs'!N41-'Model inputs'!N52</f>
        <v>297.90457127619703</v>
      </c>
      <c r="M9" s="8">
        <f>'Model inputs'!B41-'Model inputs'!B52</f>
        <v>348.13544739048837</v>
      </c>
    </row>
    <row r="10">
      <c r="A10" t="inlineStr" s="5">
        <is>
          <t xml:space="preserve">Operating profit &gt; Growth</t>
        </is>
      </c>
      <c r="B10" s="16">
        <f>'Model inputs'!D40-'Model inputs'!D50</f>
        <v>-354.86</v>
      </c>
      <c r="C10" s="16">
        <f>'Model inputs'!E40-'Model inputs'!E50</f>
        <v>343.69679999999994</v>
      </c>
      <c r="D10" s="16">
        <f>'Model inputs'!F40-'Model inputs'!F50</f>
        <v>904.0835459999996</v>
      </c>
      <c r="E10" s="16">
        <f>'Model inputs'!G40-'Model inputs'!G50</f>
        <v>1535.9633371199998</v>
      </c>
      <c r="F10" s="16">
        <f>'Model inputs'!H40-'Model inputs'!H50</f>
        <v>2250.4370791313995</v>
      </c>
      <c r="G10" s="16">
        <f>'Model inputs'!I40-'Model inputs'!I50</f>
        <v>3060.2595052012075</v>
      </c>
      <c r="H10" s="16">
        <f>'Model inputs'!J40-'Model inputs'!J50</f>
        <v>3980.087589255484</v>
      </c>
      <c r="I10" s="16">
        <f>'Model inputs'!K40-'Model inputs'!K50</f>
        <v>5026.766211169678</v>
      </c>
      <c r="J10" s="16">
        <f>'Model inputs'!L40-'Model inputs'!L50</f>
        <v>6219.656661865225</v>
      </c>
      <c r="K10" s="16">
        <f>'Model inputs'!M40-'Model inputs'!M50</f>
        <v>7581.014414594501</v>
      </c>
      <c r="L10" s="16">
        <f>'Model inputs'!N40-'Model inputs'!N50</f>
        <v>9136.423552629682</v>
      </c>
      <c r="M10" s="16">
        <f>'Model inputs'!B40-'Model inputs'!B50</f>
        <v>10915.296352094763</v>
      </c>
    </row>
  </sheetData>
  <mergeCells count="1">
    <mergeCell ref="A1:M1"/>
  </mergeCells>
</worksheet>
</file>

<file path=xl/worksheets/sheet4.xml><?xml version="1.0" encoding="utf-8"?>
<worksheet xmlns="http://schemas.openxmlformats.org/spreadsheetml/2006/main">
  <dimension ref="A1:B2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NeatRescue — Assumptions &amp; simulator · Operating assumptions — hypothetical USD</t>
        </is>
      </c>
    </row>
    <row r="2" ht="20" customHeight="1">
      <c r="A2" t="inlineStr" s="2">
        <is>
          <t xml:space="preserve">Financial model (5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Monthly acquisition growth</t>
        </is>
      </c>
      <c r="B5" s="17">
        <f>0.1</f>
        <v>0.1</v>
      </c>
    </row>
    <row r="6">
      <c r="A6" t="inlineStr" s="7">
        <is>
          <t xml:space="preserve">Monthly customer churn</t>
        </is>
      </c>
      <c r="B6" s="12">
        <f>0.05</f>
        <v>0.05</v>
      </c>
    </row>
    <row r="7">
      <c r="A7" t="inlineStr" s="7">
        <is>
          <t xml:space="preserve">Inference cost per verification</t>
        </is>
      </c>
      <c r="B7" s="11">
        <f>0.05</f>
        <v>0.05</v>
      </c>
    </row>
    <row r="8">
      <c r="A8" t="inlineStr" s="7">
        <is>
          <t xml:space="preserve">Compute cost per verification</t>
        </is>
      </c>
      <c r="B8" s="11">
        <f>0.015</f>
        <v>0.015</v>
      </c>
    </row>
    <row r="9">
      <c r="A9" t="inlineStr" s="7">
        <is>
          <t xml:space="preserve">Logging cost per verification</t>
        </is>
      </c>
      <c r="B9" s="11">
        <f>0.005</f>
        <v>0.005</v>
      </c>
    </row>
    <row r="10">
      <c r="A10" t="inlineStr" s="7">
        <is>
          <t xml:space="preserve">Monthly hosting budget</t>
        </is>
      </c>
      <c r="B10" s="11">
        <f>60</f>
        <v>60</v>
      </c>
    </row>
    <row r="11">
      <c r="A11" t="inlineStr" s="7">
        <is>
          <t xml:space="preserve">Monthly compute baseline</t>
        </is>
      </c>
      <c r="B11" s="11">
        <f>40</f>
        <v>40</v>
      </c>
    </row>
    <row r="12">
      <c r="A12" t="inlineStr" s="7">
        <is>
          <t xml:space="preserve">Monthly logging baseline</t>
        </is>
      </c>
      <c r="B12" s="11">
        <f>25</f>
        <v>25</v>
      </c>
    </row>
    <row r="13">
      <c r="A13" t="inlineStr" s="7">
        <is>
          <t xml:space="preserve">Monthly security budget</t>
        </is>
      </c>
      <c r="B13" s="11">
        <f>75</f>
        <v>75</v>
      </c>
    </row>
    <row r="14">
      <c r="A14" t="inlineStr" s="7">
        <is>
          <t xml:space="preserve">Monthly support baseline</t>
        </is>
      </c>
      <c r="B14" s="11">
        <f>100</f>
        <v>100</v>
      </c>
    </row>
    <row r="15">
      <c r="A15" t="inlineStr" s="7">
        <is>
          <t xml:space="preserve">Monthly acquisition budget</t>
        </is>
      </c>
      <c r="B15" s="11">
        <f>150</f>
        <v>150</v>
      </c>
    </row>
    <row r="16">
      <c r="A16" t="inlineStr" s="7">
        <is>
          <t xml:space="preserve">Launch expense</t>
        </is>
      </c>
      <c r="B16" s="11">
        <f>200</f>
        <v>200</v>
      </c>
    </row>
    <row r="17">
      <c r="A17" t="inlineStr" s="7">
        <is>
          <t xml:space="preserve">Opening cash</t>
        </is>
      </c>
      <c r="B17" s="11">
        <f>0</f>
        <v>0</v>
      </c>
    </row>
    <row r="18">
      <c r="A18" t="inlineStr" s="7">
        <is>
          <t xml:space="preserve">Payment processing rate</t>
        </is>
      </c>
      <c r="B18" s="12">
        <f>0.03</f>
        <v>0.03</v>
      </c>
    </row>
    <row r="19">
      <c r="A19" t="inlineStr" s="7">
        <is>
          <t xml:space="preserve">Founder monthly pay</t>
        </is>
      </c>
      <c r="B19" s="11">
        <f>0</f>
        <v>0</v>
      </c>
    </row>
    <row r="20">
      <c r="A20" t="inlineStr" s="5">
        <is>
          <t xml:space="preserve">Minimum cash reserve</t>
        </is>
      </c>
      <c r="B20" s="10">
        <f>0</f>
        <v>0</v>
      </c>
    </row>
  </sheetData>
  <mergeCells count="1">
    <mergeCell ref="A1:B1"/>
  </mergeCells>
</worksheet>
</file>

<file path=xl/worksheets/sheet5.xml><?xml version="1.0" encoding="utf-8"?>
<worksheet xmlns="http://schemas.openxmlformats.org/spreadsheetml/2006/main">
  <dimension ref="A1:G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</cols>
  <sheetData>
    <row r="1" ht="32" customHeight="1">
      <c r="A1" t="inlineStr" s="1">
        <is>
          <t xml:space="preserve">NeatRescue — Assumptions &amp; simulator · Pricing &amp; acquisition assumptions — hypothetical</t>
        </is>
      </c>
    </row>
    <row r="2" ht="20" customHeight="1">
      <c r="A2" t="inlineStr" s="2">
        <is>
          <t xml:space="preserve">Financial model (5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Monthly subscription price</t>
        </is>
      </c>
      <c r="C4" t="inlineStr" s="4">
        <is>
          <t xml:space="preserve">Included verifications</t>
        </is>
      </c>
      <c r="D4" t="inlineStr" s="4">
        <is>
          <t xml:space="preserve">Verifications per customer</t>
        </is>
      </c>
      <c r="E4" t="inlineStr" s="4">
        <is>
          <t xml:space="preserve">Overage price per verification</t>
        </is>
      </c>
      <c r="F4" t="inlineStr" s="4">
        <is>
          <t xml:space="preserve">Support cost per customer</t>
        </is>
      </c>
      <c r="G4" t="inlineStr" s="4">
        <is>
          <t xml:space="preserve">First-month new customers</t>
        </is>
      </c>
    </row>
    <row r="5">
      <c r="A5" t="inlineStr" s="5">
        <is>
          <t xml:space="preserve">Starter</t>
        </is>
      </c>
      <c r="B5" s="10">
        <f>49</f>
        <v>49</v>
      </c>
      <c r="C5" s="10">
        <f>100</f>
        <v>100</v>
      </c>
      <c r="D5" s="10">
        <f>120</f>
        <v>120</v>
      </c>
      <c r="E5" s="10">
        <f>0.1</f>
        <v>0.1</v>
      </c>
      <c r="F5" s="10">
        <f>2</f>
        <v>2</v>
      </c>
      <c r="G5" s="10">
        <f>2</f>
        <v>2</v>
      </c>
    </row>
    <row r="6">
      <c r="A6" t="inlineStr" s="5">
        <is>
          <t xml:space="preserve">Team</t>
        </is>
      </c>
      <c r="B6" s="10">
        <f>199</f>
        <v>199</v>
      </c>
      <c r="C6" s="10">
        <f>600</f>
        <v>600</v>
      </c>
      <c r="D6" s="10">
        <f>800</f>
        <v>800</v>
      </c>
      <c r="E6" s="10">
        <f>0.1</f>
        <v>0.1</v>
      </c>
      <c r="F6" s="10">
        <f>12</f>
        <v>12</v>
      </c>
      <c r="G6" s="10">
        <f>1</f>
        <v>1</v>
      </c>
    </row>
  </sheetData>
  <mergeCells count="1">
    <mergeCell ref="A1:G1"/>
  </mergeCells>
</worksheet>
</file>

<file path=xl/worksheets/sheet6.xml><?xml version="1.0" encoding="utf-8"?>
<worksheet xmlns="http://schemas.openxmlformats.org/spreadsheetml/2006/main">
  <dimension ref="A1:G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</cols>
  <sheetData>
    <row r="1" ht="32" customHeight="1">
      <c r="A1" t="inlineStr" s="1">
        <is>
          <t xml:space="preserve">NeatRescue — Assumptions &amp; simulator · Per-customer contribution &amp; usage price floor</t>
        </is>
      </c>
    </row>
    <row r="2" ht="20" customHeight="1">
      <c r="A2" t="inlineStr" s="2">
        <is>
          <t xml:space="preserve">Financial model (5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Effective monthly bill</t>
        </is>
      </c>
      <c r="C4" t="inlineStr" s="4">
        <is>
          <t xml:space="preserve">Verification unit cost</t>
        </is>
      </c>
      <c r="D4" t="inlineStr" s="4">
        <is>
          <t xml:space="preserve">Unit contribution per customer</t>
        </is>
      </c>
      <c r="E4" t="inlineStr" s="4">
        <is>
          <t xml:space="preserve">Unit contribution percentage</t>
        </is>
      </c>
      <c r="F4" t="inlineStr" s="4">
        <is>
          <t xml:space="preserve">Usage inference break-even ceiling</t>
        </is>
      </c>
      <c r="G4" t="inlineStr" s="4">
        <is>
          <t xml:space="preserve">Minimum usage price at cost</t>
        </is>
      </c>
    </row>
    <row r="5">
      <c r="A5" t="inlineStr" s="5">
        <is>
          <t xml:space="preserve">Starter</t>
        </is>
      </c>
      <c r="B5" s="16">
        <f>'NeatRescue — Assumptions &amp; (2)'!B5+MAX('NeatRescue — Assumptions &amp; (2)'!D5-'NeatRescue — Assumptions &amp; (2)'!C5,0)*'NeatRescue — Assumptions &amp; (2)'!E5</f>
        <v>51</v>
      </c>
      <c r="C5" s="16">
        <f>'NeatRescue — Assumptions &amp; simu'!B7+'NeatRescue — Assumptions &amp; simu'!B8+'NeatRescue — Assumptions &amp; simu'!B9</f>
        <v>0.07</v>
      </c>
      <c r="D5" s="16">
        <f>'NeatRescue — Assumptions &amp; (3)'!B5*(1-'NeatRescue — Assumptions &amp; simu'!B18)-'NeatRescue — Assumptions &amp; (2)'!D5*'NeatRescue — Assumptions &amp; (3)'!C5-'NeatRescue — Assumptions &amp; (2)'!F5</f>
        <v>39.07</v>
      </c>
      <c r="E5" s="18">
        <f>IFERROR('NeatRescue — Assumptions &amp; (3)'!D5/'NeatRescue — Assumptions &amp; (3)'!B5,"")</f>
        <v>0.766078431372549</v>
      </c>
      <c r="F5" s="19">
        <f>'NeatRescue — Assumptions &amp; (2)'!E5*(1-'NeatRescue — Assumptions &amp; simu'!B18)-'NeatRescue — Assumptions &amp; simu'!B8-'NeatRescue — Assumptions &amp; simu'!B9</f>
        <v>0.077</v>
      </c>
      <c r="G5" s="19">
        <f>IFERROR('NeatRescue — Assumptions &amp; (3)'!C5/(1-'NeatRescue — Assumptions &amp; simu'!B18),"")</f>
        <v>0.07216494845360825</v>
      </c>
    </row>
    <row r="6">
      <c r="A6" t="inlineStr" s="5">
        <is>
          <t xml:space="preserve">Team</t>
        </is>
      </c>
      <c r="B6" s="16">
        <f>'NeatRescue — Assumptions &amp; (2)'!B6+MAX('NeatRescue — Assumptions &amp; (2)'!D6-'NeatRescue — Assumptions &amp; (2)'!C6,0)*'NeatRescue — Assumptions &amp; (2)'!E6</f>
        <v>219</v>
      </c>
      <c r="C6" s="16">
        <f>'NeatRescue — Assumptions &amp; simu'!B7+'NeatRescue — Assumptions &amp; simu'!B8+'NeatRescue — Assumptions &amp; simu'!B9</f>
        <v>0.07</v>
      </c>
      <c r="D6" s="16">
        <f>'NeatRescue — Assumptions &amp; (3)'!B6*(1-'NeatRescue — Assumptions &amp; simu'!B18)-'NeatRescue — Assumptions &amp; (2)'!D6*'NeatRescue — Assumptions &amp; (3)'!C6-'NeatRescue — Assumptions &amp; (2)'!F6</f>
        <v>144.43</v>
      </c>
      <c r="E6" s="18">
        <f>IFERROR('NeatRescue — Assumptions &amp; (3)'!D6/'NeatRescue — Assumptions &amp; (3)'!B6,"")</f>
        <v>0.6594977168949772</v>
      </c>
      <c r="F6" s="19">
        <f>'NeatRescue — Assumptions &amp; (2)'!E6*(1-'NeatRescue — Assumptions &amp; simu'!B18)-'NeatRescue — Assumptions &amp; simu'!B8-'NeatRescue — Assumptions &amp; simu'!B9</f>
        <v>0.077</v>
      </c>
      <c r="G6" s="19">
        <f>IFERROR('NeatRescue — Assumptions &amp; (3)'!C6/(1-'NeatRescue — Assumptions &amp; simu'!B18),"")</f>
        <v>0.07216494845360825</v>
      </c>
    </row>
  </sheetData>
  <mergeCells count="1">
    <mergeCell ref="A1:G1"/>
  </mergeCells>
</worksheet>
</file>

<file path=xl/worksheets/sheet7.xml><?xml version="1.0" encoding="utf-8"?>
<worksheet xmlns="http://schemas.openxmlformats.org/spreadsheetml/2006/main">
  <dimension ref="A1:M5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NeatRescue — Revenue &amp; costs · Customers, usage &amp; unit economics</t>
        </is>
      </c>
    </row>
    <row r="2" ht="20" customHeight="1">
      <c r="A2" t="inlineStr" s="2">
        <is>
          <t xml:space="preserve">Financial model (5 pages) · Main Scenario</t>
        </is>
      </c>
    </row>
    <row r="4" ht="22" customHeight="1">
      <c r="A4" t="inlineStr" s="3">
        <is>
          <t xml:space="preserve">Variable / dimension</t>
        </is>
      </c>
      <c r="B4" t="inlineStr" s="15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5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5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5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</row>
    <row r="5">
      <c r="A5" t="inlineStr" s="5">
        <is>
          <t xml:space="preserve">New customers</t>
        </is>
      </c>
      <c r="B5" s="10">
        <f>SUM('NeatRescue — Revenue &amp; costs ·'!B6,'NeatRescue — Revenue &amp; costs ·'!B7)</f>
        <v>3</v>
      </c>
      <c r="C5" s="10">
        <f>SUM('NeatRescue — Revenue &amp; costs ·'!C6,'NeatRescue — Revenue &amp; costs ·'!C7)</f>
        <v>3.3000000000000003</v>
      </c>
      <c r="D5" s="10">
        <f>SUM('NeatRescue — Revenue &amp; costs ·'!D6,'NeatRescue — Revenue &amp; costs ·'!D7)</f>
        <v>3.630000000000001</v>
      </c>
      <c r="E5" s="10">
        <f>SUM('NeatRescue — Revenue &amp; costs ·'!E6,'NeatRescue — Revenue &amp; costs ·'!E7)</f>
        <v>3.993000000000001</v>
      </c>
      <c r="F5" s="10">
        <f>SUM('NeatRescue — Revenue &amp; costs ·'!F6,'NeatRescue — Revenue &amp; costs ·'!F7)</f>
        <v>4.392300000000002</v>
      </c>
      <c r="G5" s="10">
        <f>SUM('NeatRescue — Revenue &amp; costs ·'!G6,'NeatRescue — Revenue &amp; costs ·'!G7)</f>
        <v>4.8315300000000025</v>
      </c>
      <c r="H5" s="10">
        <f>SUM('NeatRescue — Revenue &amp; costs ·'!H6,'NeatRescue — Revenue &amp; costs ·'!H7)</f>
        <v>5.314683000000003</v>
      </c>
      <c r="I5" s="10">
        <f>SUM('NeatRescue — Revenue &amp; costs ·'!I6,'NeatRescue — Revenue &amp; costs ·'!I7)</f>
        <v>5.846151300000004</v>
      </c>
      <c r="J5" s="10">
        <f>SUM('NeatRescue — Revenue &amp; costs ·'!J6,'NeatRescue — Revenue &amp; costs ·'!J7)</f>
        <v>6.430766430000005</v>
      </c>
      <c r="K5" s="10">
        <f>SUM('NeatRescue — Revenue &amp; costs ·'!K6,'NeatRescue — Revenue &amp; costs ·'!K7)</f>
        <v>7.073843073000006</v>
      </c>
      <c r="L5" s="10">
        <f>SUM('NeatRescue — Revenue &amp; costs ·'!L6,'NeatRescue — Revenue &amp; costs ·'!L7)</f>
        <v>7.781227380300007</v>
      </c>
      <c r="M5" s="10">
        <f>SUM('NeatRescue — Revenue &amp; costs ·'!M6,'NeatRescue — Revenue &amp; costs ·'!M7)</f>
        <v>8.55935011833001</v>
      </c>
    </row>
    <row r="6" outlineLevel="1">
      <c r="A6" t="inlineStr" s="20">
        <is>
          <t xml:space="preserve">Starter</t>
        </is>
      </c>
      <c r="B6" s="11">
        <f>IF('NeatRescue — Assumptions &amp; (2)'!G5="","",'NeatRescue — Assumptions &amp; (2)'!G5)</f>
        <v>2</v>
      </c>
      <c r="C6" s="11">
        <f>'NeatRescue — Revenue &amp; costs ·'!B6*(1+'NeatRescue — Assumptions &amp; simu'!B5)</f>
        <v>2.2</v>
      </c>
      <c r="D6" s="11">
        <f>'NeatRescue — Revenue &amp; costs ·'!C6*(1+'NeatRescue — Assumptions &amp; simu'!B5)</f>
        <v>2.4200000000000004</v>
      </c>
      <c r="E6" s="11">
        <f>'NeatRescue — Revenue &amp; costs ·'!D6*(1+'NeatRescue — Assumptions &amp; simu'!B5)</f>
        <v>2.662000000000001</v>
      </c>
      <c r="F6" s="11">
        <f>'NeatRescue — Revenue &amp; costs ·'!E6*(1+'NeatRescue — Assumptions &amp; simu'!B5)</f>
        <v>2.9282000000000012</v>
      </c>
      <c r="G6" s="11">
        <f>'NeatRescue — Revenue &amp; costs ·'!F6*(1+'NeatRescue — Assumptions &amp; simu'!B5)</f>
        <v>3.2210200000000015</v>
      </c>
      <c r="H6" s="11">
        <f>'NeatRescue — Revenue &amp; costs ·'!G6*(1+'NeatRescue — Assumptions &amp; simu'!B5)</f>
        <v>3.543122000000002</v>
      </c>
      <c r="I6" s="11">
        <f>'NeatRescue — Revenue &amp; costs ·'!H6*(1+'NeatRescue — Assumptions &amp; simu'!B5)</f>
        <v>3.897434200000003</v>
      </c>
      <c r="J6" s="11">
        <f>'NeatRescue — Revenue &amp; costs ·'!I6*(1+'NeatRescue — Assumptions &amp; simu'!B5)</f>
        <v>4.287177620000003</v>
      </c>
      <c r="K6" s="11">
        <f>'NeatRescue — Revenue &amp; costs ·'!J6*(1+'NeatRescue — Assumptions &amp; simu'!B5)</f>
        <v>4.715895382000004</v>
      </c>
      <c r="L6" s="11">
        <f>'NeatRescue — Revenue &amp; costs ·'!K6*(1+'NeatRescue — Assumptions &amp; simu'!B5)</f>
        <v>5.187484920200005</v>
      </c>
      <c r="M6" s="11">
        <f>'NeatRescue — Revenue &amp; costs ·'!L6*(1+'NeatRescue — Assumptions &amp; simu'!B5)</f>
        <v>5.706233412220006</v>
      </c>
    </row>
    <row r="7" outlineLevel="1">
      <c r="A7" t="inlineStr" s="20">
        <is>
          <t xml:space="preserve">Team</t>
        </is>
      </c>
      <c r="B7" s="11">
        <f>IF('NeatRescue — Assumptions &amp; (2)'!G6="","",'NeatRescue — Assumptions &amp; (2)'!G6)</f>
        <v>1</v>
      </c>
      <c r="C7" s="11">
        <f>'NeatRescue — Revenue &amp; costs ·'!B7*(1+'NeatRescue — Assumptions &amp; simu'!B5)</f>
        <v>1.1</v>
      </c>
      <c r="D7" s="11">
        <f>'NeatRescue — Revenue &amp; costs ·'!C7*(1+'NeatRescue — Assumptions &amp; simu'!B5)</f>
        <v>1.2100000000000002</v>
      </c>
      <c r="E7" s="11">
        <f>'NeatRescue — Revenue &amp; costs ·'!D7*(1+'NeatRescue — Assumptions &amp; simu'!B5)</f>
        <v>1.3310000000000004</v>
      </c>
      <c r="F7" s="11">
        <f>'NeatRescue — Revenue &amp; costs ·'!E7*(1+'NeatRescue — Assumptions &amp; simu'!B5)</f>
        <v>1.4641000000000006</v>
      </c>
      <c r="G7" s="11">
        <f>'NeatRescue — Revenue &amp; costs ·'!F7*(1+'NeatRescue — Assumptions &amp; simu'!B5)</f>
        <v>1.6105100000000008</v>
      </c>
      <c r="H7" s="11">
        <f>'NeatRescue — Revenue &amp; costs ·'!G7*(1+'NeatRescue — Assumptions &amp; simu'!B5)</f>
        <v>1.771561000000001</v>
      </c>
      <c r="I7" s="11">
        <f>'NeatRescue — Revenue &amp; costs ·'!H7*(1+'NeatRescue — Assumptions &amp; simu'!B5)</f>
        <v>1.9487171000000014</v>
      </c>
      <c r="J7" s="11">
        <f>'NeatRescue — Revenue &amp; costs ·'!I7*(1+'NeatRescue — Assumptions &amp; simu'!B5)</f>
        <v>2.1435888100000016</v>
      </c>
      <c r="K7" s="11">
        <f>'NeatRescue — Revenue &amp; costs ·'!J7*(1+'NeatRescue — Assumptions &amp; simu'!B5)</f>
        <v>2.357947691000002</v>
      </c>
      <c r="L7" s="11">
        <f>'NeatRescue — Revenue &amp; costs ·'!K7*(1+'NeatRescue — Assumptions &amp; simu'!B5)</f>
        <v>2.5937424601000023</v>
      </c>
      <c r="M7" s="11">
        <f>'NeatRescue — Revenue &amp; costs ·'!L7*(1+'NeatRescue — Assumptions &amp; simu'!B5)</f>
        <v>2.853116706110003</v>
      </c>
    </row>
    <row r="8">
      <c r="A8" t="inlineStr" s="5">
        <is>
          <t xml:space="preserve">Opening customers</t>
        </is>
      </c>
      <c r="B8" s="10">
        <f>SUM('NeatRescue — Revenue &amp; costs ·'!B9,'NeatRescue — Revenue &amp; costs ·'!B10)</f>
        <v>0</v>
      </c>
      <c r="C8" s="10">
        <f>SUM('NeatRescue — Revenue &amp; costs ·'!C9,'NeatRescue — Revenue &amp; costs ·'!C10)</f>
        <v>3</v>
      </c>
      <c r="D8" s="10">
        <f>SUM('NeatRescue — Revenue &amp; costs ·'!D9,'NeatRescue — Revenue &amp; costs ·'!D10)</f>
        <v>6.15</v>
      </c>
      <c r="E8" s="10">
        <f>SUM('NeatRescue — Revenue &amp; costs ·'!E9,'NeatRescue — Revenue &amp; costs ·'!E10)</f>
        <v>9.472500000000002</v>
      </c>
      <c r="F8" s="10">
        <f>SUM('NeatRescue — Revenue &amp; costs ·'!F9,'NeatRescue — Revenue &amp; costs ·'!F10)</f>
        <v>12.991875000000004</v>
      </c>
      <c r="G8" s="10">
        <f>SUM('NeatRescue — Revenue &amp; costs ·'!G9,'NeatRescue — Revenue &amp; costs ·'!G10)</f>
        <v>16.734581250000005</v>
      </c>
      <c r="H8" s="10">
        <f>SUM('NeatRescue — Revenue &amp; costs ·'!H9,'NeatRescue — Revenue &amp; costs ·'!H10)</f>
        <v>20.729382187500008</v>
      </c>
      <c r="I8" s="10">
        <f>SUM('NeatRescue — Revenue &amp; costs ·'!I9,'NeatRescue — Revenue &amp; costs ·'!I10)</f>
        <v>25.007596078125008</v>
      </c>
      <c r="J8" s="10">
        <f>SUM('NeatRescue — Revenue &amp; costs ·'!J9,'NeatRescue — Revenue &amp; costs ·'!J10)</f>
        <v>29.603367574218765</v>
      </c>
      <c r="K8" s="10">
        <f>SUM('NeatRescue — Revenue &amp; costs ·'!K9,'NeatRescue — Revenue &amp; costs ·'!K10)</f>
        <v>34.55396562550783</v>
      </c>
      <c r="L8" s="10">
        <f>SUM('NeatRescue — Revenue &amp; costs ·'!L9,'NeatRescue — Revenue &amp; costs ·'!L10)</f>
        <v>39.90011041723245</v>
      </c>
      <c r="M8" s="10">
        <f>SUM('NeatRescue — Revenue &amp; costs ·'!M9,'NeatRescue — Revenue &amp; costs ·'!M10)</f>
        <v>45.68633227667084</v>
      </c>
    </row>
    <row r="9" outlineLevel="1">
      <c r="A9" t="inlineStr" s="20">
        <is>
          <t xml:space="preserve">Starter</t>
        </is>
      </c>
      <c r="B9" s="11">
        <f>IF('Model inputs'!C18="","",'Model inputs'!C18)</f>
        <v>0</v>
      </c>
      <c r="C9" s="11">
        <f>IF('NeatRescue — Revenue &amp; costs ·'!B15="","",'NeatRescue — Revenue &amp; costs ·'!B15)</f>
        <v>2</v>
      </c>
      <c r="D9" s="11">
        <f>IF('NeatRescue — Revenue &amp; costs ·'!C15="","",'NeatRescue — Revenue &amp; costs ·'!C15)</f>
        <v>4.1000000000000005</v>
      </c>
      <c r="E9" s="11">
        <f>IF('NeatRescue — Revenue &amp; costs ·'!D15="","",'NeatRescue — Revenue &amp; costs ·'!D15)</f>
        <v>6.315000000000001</v>
      </c>
      <c r="F9" s="11">
        <f>IF('NeatRescue — Revenue &amp; costs ·'!E15="","",'NeatRescue — Revenue &amp; costs ·'!E15)</f>
        <v>8.661250000000003</v>
      </c>
      <c r="G9" s="11">
        <f>IF('NeatRescue — Revenue &amp; costs ·'!F15="","",'NeatRescue — Revenue &amp; costs ·'!F15)</f>
        <v>11.156387500000003</v>
      </c>
      <c r="H9" s="11">
        <f>IF('NeatRescue — Revenue &amp; costs ·'!G15="","",'NeatRescue — Revenue &amp; costs ·'!G15)</f>
        <v>13.819588125000005</v>
      </c>
      <c r="I9" s="11">
        <f>IF('NeatRescue — Revenue &amp; costs ·'!H15="","",'NeatRescue — Revenue &amp; costs ·'!H15)</f>
        <v>16.671730718750005</v>
      </c>
      <c r="J9" s="11">
        <f>IF('NeatRescue — Revenue &amp; costs ·'!I15="","",'NeatRescue — Revenue &amp; costs ·'!I15)</f>
        <v>19.73557838281251</v>
      </c>
      <c r="K9" s="11">
        <f>IF('NeatRescue — Revenue &amp; costs ·'!J15="","",'NeatRescue — Revenue &amp; costs ·'!J15)</f>
        <v>23.035977083671888</v>
      </c>
      <c r="L9" s="11">
        <f>IF('NeatRescue — Revenue &amp; costs ·'!K15="","",'NeatRescue — Revenue &amp; costs ·'!K15)</f>
        <v>26.6000736114883</v>
      </c>
      <c r="M9" s="11">
        <f>IF('NeatRescue — Revenue &amp; costs ·'!L15="","",'NeatRescue — Revenue &amp; costs ·'!L15)</f>
        <v>30.45755485111389</v>
      </c>
    </row>
    <row r="10" outlineLevel="1">
      <c r="A10" t="inlineStr" s="20">
        <is>
          <t xml:space="preserve">Team</t>
        </is>
      </c>
      <c r="B10" s="11">
        <f>IF('Model inputs'!C19="","",'Model inputs'!C19)</f>
        <v>0</v>
      </c>
      <c r="C10" s="11">
        <f>IF('NeatRescue — Revenue &amp; costs ·'!B16="","",'NeatRescue — Revenue &amp; costs ·'!B16)</f>
        <v>1</v>
      </c>
      <c r="D10" s="11">
        <f>IF('NeatRescue — Revenue &amp; costs ·'!C16="","",'NeatRescue — Revenue &amp; costs ·'!C16)</f>
        <v>2.0500000000000003</v>
      </c>
      <c r="E10" s="11">
        <f>IF('NeatRescue — Revenue &amp; costs ·'!D16="","",'NeatRescue — Revenue &amp; costs ·'!D16)</f>
        <v>3.1575000000000006</v>
      </c>
      <c r="F10" s="11">
        <f>IF('NeatRescue — Revenue &amp; costs ·'!E16="","",'NeatRescue — Revenue &amp; costs ·'!E16)</f>
        <v>4.330625000000001</v>
      </c>
      <c r="G10" s="11">
        <f>IF('NeatRescue — Revenue &amp; costs ·'!F16="","",'NeatRescue — Revenue &amp; costs ·'!F16)</f>
        <v>5.578193750000001</v>
      </c>
      <c r="H10" s="11">
        <f>IF('NeatRescue — Revenue &amp; costs ·'!G16="","",'NeatRescue — Revenue &amp; costs ·'!G16)</f>
        <v>6.909794062500002</v>
      </c>
      <c r="I10" s="11">
        <f>IF('NeatRescue — Revenue &amp; costs ·'!H16="","",'NeatRescue — Revenue &amp; costs ·'!H16)</f>
        <v>8.335865359375003</v>
      </c>
      <c r="J10" s="11">
        <f>IF('NeatRescue — Revenue &amp; costs ·'!I16="","",'NeatRescue — Revenue &amp; costs ·'!I16)</f>
        <v>9.867789191406255</v>
      </c>
      <c r="K10" s="11">
        <f>IF('NeatRescue — Revenue &amp; costs ·'!J16="","",'NeatRescue — Revenue &amp; costs ·'!J16)</f>
        <v>11.517988541835944</v>
      </c>
      <c r="L10" s="11">
        <f>IF('NeatRescue — Revenue &amp; costs ·'!K16="","",'NeatRescue — Revenue &amp; costs ·'!K16)</f>
        <v>13.30003680574415</v>
      </c>
      <c r="M10" s="11">
        <f>IF('NeatRescue — Revenue &amp; costs ·'!L16="","",'NeatRescue — Revenue &amp; costs ·'!L16)</f>
        <v>15.228777425556945</v>
      </c>
    </row>
    <row r="11">
      <c r="A11" t="inlineStr" s="5">
        <is>
          <t xml:space="preserve">Churned customers</t>
        </is>
      </c>
      <c r="B11" s="10">
        <f>SUM('NeatRescue — Revenue &amp; costs ·'!B12,'NeatRescue — Revenue &amp; costs ·'!B13)</f>
        <v>0</v>
      </c>
      <c r="C11" s="10">
        <f>SUM('NeatRescue — Revenue &amp; costs ·'!C12,'NeatRescue — Revenue &amp; costs ·'!C13)</f>
        <v>0.15000000000000002</v>
      </c>
      <c r="D11" s="10">
        <f>SUM('NeatRescue — Revenue &amp; costs ·'!D12,'NeatRescue — Revenue &amp; costs ·'!D13)</f>
        <v>0.30750000000000005</v>
      </c>
      <c r="E11" s="10">
        <f>SUM('NeatRescue — Revenue &amp; costs ·'!E12,'NeatRescue — Revenue &amp; costs ·'!E13)</f>
        <v>0.47362500000000013</v>
      </c>
      <c r="F11" s="10">
        <f>SUM('NeatRescue — Revenue &amp; costs ·'!F12,'NeatRescue — Revenue &amp; costs ·'!F13)</f>
        <v>0.6495937500000002</v>
      </c>
      <c r="G11" s="10">
        <f>SUM('NeatRescue — Revenue &amp; costs ·'!G12,'NeatRescue — Revenue &amp; costs ·'!G13)</f>
        <v>0.8367290625000001</v>
      </c>
      <c r="H11" s="10">
        <f>SUM('NeatRescue — Revenue &amp; costs ·'!H12,'NeatRescue — Revenue &amp; costs ·'!H13)</f>
        <v>1.0364691093750005</v>
      </c>
      <c r="I11" s="10">
        <f>SUM('NeatRescue — Revenue &amp; costs ·'!I12,'NeatRescue — Revenue &amp; costs ·'!I13)</f>
        <v>1.2503798039062506</v>
      </c>
      <c r="J11" s="10">
        <f>SUM('NeatRescue — Revenue &amp; costs ·'!J12,'NeatRescue — Revenue &amp; costs ·'!J13)</f>
        <v>1.4801683787109383</v>
      </c>
      <c r="K11" s="10">
        <f>SUM('NeatRescue — Revenue &amp; costs ·'!K12,'NeatRescue — Revenue &amp; costs ·'!K13)</f>
        <v>1.7276982812753916</v>
      </c>
      <c r="L11" s="10">
        <f>SUM('NeatRescue — Revenue &amp; costs ·'!L12,'NeatRescue — Revenue &amp; costs ·'!L13)</f>
        <v>1.9950055208616226</v>
      </c>
      <c r="M11" s="10">
        <f>SUM('NeatRescue — Revenue &amp; costs ·'!M12,'NeatRescue — Revenue &amp; costs ·'!M13)</f>
        <v>2.284316613833542</v>
      </c>
    </row>
    <row r="12" outlineLevel="1">
      <c r="A12" t="inlineStr" s="20">
        <is>
          <t xml:space="preserve">Starter</t>
        </is>
      </c>
      <c r="B12" s="11">
        <f>'NeatRescue — Revenue &amp; costs ·'!B9*'NeatRescue — Assumptions &amp; simu'!B6</f>
        <v>0</v>
      </c>
      <c r="C12" s="11">
        <f>'NeatRescue — Revenue &amp; costs ·'!C9*'NeatRescue — Assumptions &amp; simu'!B6</f>
        <v>0.1</v>
      </c>
      <c r="D12" s="11">
        <f>'NeatRescue — Revenue &amp; costs ·'!D9*'NeatRescue — Assumptions &amp; simu'!B6</f>
        <v>0.20500000000000004</v>
      </c>
      <c r="E12" s="11">
        <f>'NeatRescue — Revenue &amp; costs ·'!E9*'NeatRescue — Assumptions &amp; simu'!B6</f>
        <v>0.3157500000000001</v>
      </c>
      <c r="F12" s="11">
        <f>'NeatRescue — Revenue &amp; costs ·'!F9*'NeatRescue — Assumptions &amp; simu'!B6</f>
        <v>0.43306250000000013</v>
      </c>
      <c r="G12" s="11">
        <f>'NeatRescue — Revenue &amp; costs ·'!G9*'NeatRescue — Assumptions &amp; simu'!B6</f>
        <v>0.5578193750000001</v>
      </c>
      <c r="H12" s="11">
        <f>'NeatRescue — Revenue &amp; costs ·'!H9*'NeatRescue — Assumptions &amp; simu'!B6</f>
        <v>0.6909794062500003</v>
      </c>
      <c r="I12" s="11">
        <f>'NeatRescue — Revenue &amp; costs ·'!I9*'NeatRescue — Assumptions &amp; simu'!B6</f>
        <v>0.8335865359375003</v>
      </c>
      <c r="J12" s="11">
        <f>'NeatRescue — Revenue &amp; costs ·'!J9*'NeatRescue — Assumptions &amp; simu'!B6</f>
        <v>0.9867789191406255</v>
      </c>
      <c r="K12" s="11">
        <f>'NeatRescue — Revenue &amp; costs ·'!K9*'NeatRescue — Assumptions &amp; simu'!B6</f>
        <v>1.1517988541835944</v>
      </c>
      <c r="L12" s="11">
        <f>'NeatRescue — Revenue &amp; costs ·'!L9*'NeatRescue — Assumptions &amp; simu'!B6</f>
        <v>1.330003680574415</v>
      </c>
      <c r="M12" s="11">
        <f>'NeatRescue — Revenue &amp; costs ·'!M9*'NeatRescue — Assumptions &amp; simu'!B6</f>
        <v>1.5228777425556945</v>
      </c>
    </row>
    <row r="13" outlineLevel="1">
      <c r="A13" t="inlineStr" s="20">
        <is>
          <t xml:space="preserve">Team</t>
        </is>
      </c>
      <c r="B13" s="11">
        <f>'NeatRescue — Revenue &amp; costs ·'!B10*'NeatRescue — Assumptions &amp; simu'!B6</f>
        <v>0</v>
      </c>
      <c r="C13" s="11">
        <f>'NeatRescue — Revenue &amp; costs ·'!C10*'NeatRescue — Assumptions &amp; simu'!B6</f>
        <v>0.05</v>
      </c>
      <c r="D13" s="11">
        <f>'NeatRescue — Revenue &amp; costs ·'!D10*'NeatRescue — Assumptions &amp; simu'!B6</f>
        <v>0.10250000000000002</v>
      </c>
      <c r="E13" s="11">
        <f>'NeatRescue — Revenue &amp; costs ·'!E10*'NeatRescue — Assumptions &amp; simu'!B6</f>
        <v>0.15787500000000004</v>
      </c>
      <c r="F13" s="11">
        <f>'NeatRescue — Revenue &amp; costs ·'!F10*'NeatRescue — Assumptions &amp; simu'!B6</f>
        <v>0.21653125000000006</v>
      </c>
      <c r="G13" s="11">
        <f>'NeatRescue — Revenue &amp; costs ·'!G10*'NeatRescue — Assumptions &amp; simu'!B6</f>
        <v>0.27890968750000006</v>
      </c>
      <c r="H13" s="11">
        <f>'NeatRescue — Revenue &amp; costs ·'!H10*'NeatRescue — Assumptions &amp; simu'!B6</f>
        <v>0.34548970312500016</v>
      </c>
      <c r="I13" s="11">
        <f>'NeatRescue — Revenue &amp; costs ·'!I10*'NeatRescue — Assumptions &amp; simu'!B6</f>
        <v>0.41679326796875016</v>
      </c>
      <c r="J13" s="11">
        <f>'NeatRescue — Revenue &amp; costs ·'!J10*'NeatRescue — Assumptions &amp; simu'!B6</f>
        <v>0.49338945957031277</v>
      </c>
      <c r="K13" s="11">
        <f>'NeatRescue — Revenue &amp; costs ·'!K10*'NeatRescue — Assumptions &amp; simu'!B6</f>
        <v>0.5758994270917972</v>
      </c>
      <c r="L13" s="11">
        <f>'NeatRescue — Revenue &amp; costs ·'!L10*'NeatRescue — Assumptions &amp; simu'!B6</f>
        <v>0.6650018402872075</v>
      </c>
      <c r="M13" s="11">
        <f>'NeatRescue — Revenue &amp; costs ·'!M10*'NeatRescue — Assumptions &amp; simu'!B6</f>
        <v>0.7614388712778473</v>
      </c>
    </row>
    <row r="14">
      <c r="A14" t="inlineStr" s="5">
        <is>
          <t xml:space="preserve">Closing customers</t>
        </is>
      </c>
      <c r="B14" s="10">
        <f>SUM('NeatRescue — Revenue &amp; costs ·'!B15,'NeatRescue — Revenue &amp; costs ·'!B16)</f>
        <v>3</v>
      </c>
      <c r="C14" s="10">
        <f>SUM('NeatRescue — Revenue &amp; costs ·'!C15,'NeatRescue — Revenue &amp; costs ·'!C16)</f>
        <v>6.15</v>
      </c>
      <c r="D14" s="10">
        <f>SUM('NeatRescue — Revenue &amp; costs ·'!D15,'NeatRescue — Revenue &amp; costs ·'!D16)</f>
        <v>9.472500000000002</v>
      </c>
      <c r="E14" s="10">
        <f>SUM('NeatRescue — Revenue &amp; costs ·'!E15,'NeatRescue — Revenue &amp; costs ·'!E16)</f>
        <v>12.991875000000004</v>
      </c>
      <c r="F14" s="10">
        <f>SUM('NeatRescue — Revenue &amp; costs ·'!F15,'NeatRescue — Revenue &amp; costs ·'!F16)</f>
        <v>16.734581250000005</v>
      </c>
      <c r="G14" s="10">
        <f>SUM('NeatRescue — Revenue &amp; costs ·'!G15,'NeatRescue — Revenue &amp; costs ·'!G16)</f>
        <v>20.729382187500008</v>
      </c>
      <c r="H14" s="10">
        <f>SUM('NeatRescue — Revenue &amp; costs ·'!H15,'NeatRescue — Revenue &amp; costs ·'!H16)</f>
        <v>25.007596078125008</v>
      </c>
      <c r="I14" s="10">
        <f>SUM('NeatRescue — Revenue &amp; costs ·'!I15,'NeatRescue — Revenue &amp; costs ·'!I16)</f>
        <v>29.603367574218765</v>
      </c>
      <c r="J14" s="10">
        <f>SUM('NeatRescue — Revenue &amp; costs ·'!J15,'NeatRescue — Revenue &amp; costs ·'!J16)</f>
        <v>34.55396562550783</v>
      </c>
      <c r="K14" s="10">
        <f>SUM('NeatRescue — Revenue &amp; costs ·'!K15,'NeatRescue — Revenue &amp; costs ·'!K16)</f>
        <v>39.90011041723245</v>
      </c>
      <c r="L14" s="10">
        <f>SUM('NeatRescue — Revenue &amp; costs ·'!L15,'NeatRescue — Revenue &amp; costs ·'!L16)</f>
        <v>45.68633227667084</v>
      </c>
      <c r="M14" s="10">
        <f>SUM('NeatRescue — Revenue &amp; costs ·'!M15,'NeatRescue — Revenue &amp; costs ·'!M16)</f>
        <v>51.96136578116731</v>
      </c>
    </row>
    <row r="15" outlineLevel="1">
      <c r="A15" t="inlineStr" s="20">
        <is>
          <t xml:space="preserve">Starter</t>
        </is>
      </c>
      <c r="B15" s="11">
        <f>'NeatRescue — Revenue &amp; costs ·'!B9+'NeatRescue — Revenue &amp; costs ·'!B6-'NeatRescue — Revenue &amp; costs ·'!B12</f>
        <v>2</v>
      </c>
      <c r="C15" s="11">
        <f>'NeatRescue — Revenue &amp; costs ·'!C9+'NeatRescue — Revenue &amp; costs ·'!C6-'NeatRescue — Revenue &amp; costs ·'!C12</f>
        <v>4.1000000000000005</v>
      </c>
      <c r="D15" s="11">
        <f>'NeatRescue — Revenue &amp; costs ·'!D9+'NeatRescue — Revenue &amp; costs ·'!D6-'NeatRescue — Revenue &amp; costs ·'!D12</f>
        <v>6.315000000000001</v>
      </c>
      <c r="E15" s="11">
        <f>'NeatRescue — Revenue &amp; costs ·'!E9+'NeatRescue — Revenue &amp; costs ·'!E6-'NeatRescue — Revenue &amp; costs ·'!E12</f>
        <v>8.661250000000003</v>
      </c>
      <c r="F15" s="11">
        <f>'NeatRescue — Revenue &amp; costs ·'!F9+'NeatRescue — Revenue &amp; costs ·'!F6-'NeatRescue — Revenue &amp; costs ·'!F12</f>
        <v>11.156387500000003</v>
      </c>
      <c r="G15" s="11">
        <f>'NeatRescue — Revenue &amp; costs ·'!G9+'NeatRescue — Revenue &amp; costs ·'!G6-'NeatRescue — Revenue &amp; costs ·'!G12</f>
        <v>13.819588125000005</v>
      </c>
      <c r="H15" s="11">
        <f>'NeatRescue — Revenue &amp; costs ·'!H9+'NeatRescue — Revenue &amp; costs ·'!H6-'NeatRescue — Revenue &amp; costs ·'!H12</f>
        <v>16.671730718750005</v>
      </c>
      <c r="I15" s="11">
        <f>'NeatRescue — Revenue &amp; costs ·'!I9+'NeatRescue — Revenue &amp; costs ·'!I6-'NeatRescue — Revenue &amp; costs ·'!I12</f>
        <v>19.73557838281251</v>
      </c>
      <c r="J15" s="11">
        <f>'NeatRescue — Revenue &amp; costs ·'!J9+'NeatRescue — Revenue &amp; costs ·'!J6-'NeatRescue — Revenue &amp; costs ·'!J12</f>
        <v>23.035977083671888</v>
      </c>
      <c r="K15" s="11">
        <f>'NeatRescue — Revenue &amp; costs ·'!K9+'NeatRescue — Revenue &amp; costs ·'!K6-'NeatRescue — Revenue &amp; costs ·'!K12</f>
        <v>26.6000736114883</v>
      </c>
      <c r="L15" s="11">
        <f>'NeatRescue — Revenue &amp; costs ·'!L9+'NeatRescue — Revenue &amp; costs ·'!L6-'NeatRescue — Revenue &amp; costs ·'!L12</f>
        <v>30.45755485111389</v>
      </c>
      <c r="M15" s="11">
        <f>'NeatRescue — Revenue &amp; costs ·'!M9+'NeatRescue — Revenue &amp; costs ·'!M6-'NeatRescue — Revenue &amp; costs ·'!M12</f>
        <v>34.640910520778206</v>
      </c>
    </row>
    <row r="16" outlineLevel="1">
      <c r="A16" t="inlineStr" s="20">
        <is>
          <t xml:space="preserve">Team</t>
        </is>
      </c>
      <c r="B16" s="11">
        <f>'NeatRescue — Revenue &amp; costs ·'!B10+'NeatRescue — Revenue &amp; costs ·'!B7-'NeatRescue — Revenue &amp; costs ·'!B13</f>
        <v>1</v>
      </c>
      <c r="C16" s="11">
        <f>'NeatRescue — Revenue &amp; costs ·'!C10+'NeatRescue — Revenue &amp; costs ·'!C7-'NeatRescue — Revenue &amp; costs ·'!C13</f>
        <v>2.0500000000000003</v>
      </c>
      <c r="D16" s="11">
        <f>'NeatRescue — Revenue &amp; costs ·'!D10+'NeatRescue — Revenue &amp; costs ·'!D7-'NeatRescue — Revenue &amp; costs ·'!D13</f>
        <v>3.1575000000000006</v>
      </c>
      <c r="E16" s="11">
        <f>'NeatRescue — Revenue &amp; costs ·'!E10+'NeatRescue — Revenue &amp; costs ·'!E7-'NeatRescue — Revenue &amp; costs ·'!E13</f>
        <v>4.330625000000001</v>
      </c>
      <c r="F16" s="11">
        <f>'NeatRescue — Revenue &amp; costs ·'!F10+'NeatRescue — Revenue &amp; costs ·'!F7-'NeatRescue — Revenue &amp; costs ·'!F13</f>
        <v>5.578193750000001</v>
      </c>
      <c r="G16" s="11">
        <f>'NeatRescue — Revenue &amp; costs ·'!G10+'NeatRescue — Revenue &amp; costs ·'!G7-'NeatRescue — Revenue &amp; costs ·'!G13</f>
        <v>6.909794062500002</v>
      </c>
      <c r="H16" s="11">
        <f>'NeatRescue — Revenue &amp; costs ·'!H10+'NeatRescue — Revenue &amp; costs ·'!H7-'NeatRescue — Revenue &amp; costs ·'!H13</f>
        <v>8.335865359375003</v>
      </c>
      <c r="I16" s="11">
        <f>'NeatRescue — Revenue &amp; costs ·'!I10+'NeatRescue — Revenue &amp; costs ·'!I7-'NeatRescue — Revenue &amp; costs ·'!I13</f>
        <v>9.867789191406255</v>
      </c>
      <c r="J16" s="11">
        <f>'NeatRescue — Revenue &amp; costs ·'!J10+'NeatRescue — Revenue &amp; costs ·'!J7-'NeatRescue — Revenue &amp; costs ·'!J13</f>
        <v>11.517988541835944</v>
      </c>
      <c r="K16" s="11">
        <f>'NeatRescue — Revenue &amp; costs ·'!K10+'NeatRescue — Revenue &amp; costs ·'!K7-'NeatRescue — Revenue &amp; costs ·'!K13</f>
        <v>13.30003680574415</v>
      </c>
      <c r="L16" s="11">
        <f>'NeatRescue — Revenue &amp; costs ·'!L10+'NeatRescue — Revenue &amp; costs ·'!L7-'NeatRescue — Revenue &amp; costs ·'!L13</f>
        <v>15.228777425556945</v>
      </c>
      <c r="M16" s="11">
        <f>'NeatRescue — Revenue &amp; costs ·'!M10+'NeatRescue — Revenue &amp; costs ·'!M7-'NeatRescue — Revenue &amp; costs ·'!M13</f>
        <v>17.320455260389103</v>
      </c>
    </row>
    <row r="17">
      <c r="A17" t="inlineStr" s="5">
        <is>
          <t xml:space="preserve">Billed verifications</t>
        </is>
      </c>
      <c r="B17" s="10">
        <f>SUM('NeatRescue — Revenue &amp; costs ·'!B18,'NeatRescue — Revenue &amp; costs ·'!B19)</f>
        <v>1040</v>
      </c>
      <c r="C17" s="10">
        <f>SUM('NeatRescue — Revenue &amp; costs ·'!C18,'NeatRescue — Revenue &amp; costs ·'!C19)</f>
        <v>2132.0000000000005</v>
      </c>
      <c r="D17" s="10">
        <f>SUM('NeatRescue — Revenue &amp; costs ·'!D18,'NeatRescue — Revenue &amp; costs ·'!D19)</f>
        <v>3283.8000000000006</v>
      </c>
      <c r="E17" s="10">
        <f>SUM('NeatRescue — Revenue &amp; costs ·'!E18,'NeatRescue — Revenue &amp; costs ·'!E19)</f>
        <v>4503.850000000001</v>
      </c>
      <c r="F17" s="10">
        <f>SUM('NeatRescue — Revenue &amp; costs ·'!F18,'NeatRescue — Revenue &amp; costs ·'!F19)</f>
        <v>5801.321500000002</v>
      </c>
      <c r="G17" s="10">
        <f>SUM('NeatRescue — Revenue &amp; costs ·'!G18,'NeatRescue — Revenue &amp; costs ·'!G19)</f>
        <v>7186.185825000002</v>
      </c>
      <c r="H17" s="10">
        <f>SUM('NeatRescue — Revenue &amp; costs ·'!H18,'NeatRescue — Revenue &amp; costs ·'!H19)</f>
        <v>8669.299973750003</v>
      </c>
      <c r="I17" s="10">
        <f>SUM('NeatRescue — Revenue &amp; costs ·'!I18,'NeatRescue — Revenue &amp; costs ·'!I19)</f>
        <v>10262.500759062505</v>
      </c>
      <c r="J17" s="10">
        <f>SUM('NeatRescue — Revenue &amp; costs ·'!J18,'NeatRescue — Revenue &amp; costs ·'!J19)</f>
        <v>11978.708083509382</v>
      </c>
      <c r="K17" s="10">
        <f>SUM('NeatRescue — Revenue &amp; costs ·'!K18,'NeatRescue — Revenue &amp; costs ·'!K19)</f>
        <v>13832.038277973914</v>
      </c>
      <c r="L17" s="10">
        <f>SUM('NeatRescue — Revenue &amp; costs ·'!L18,'NeatRescue — Revenue &amp; costs ·'!L19)</f>
        <v>15837.928522579223</v>
      </c>
      <c r="M17" s="10">
        <f>SUM('NeatRescue — Revenue &amp; costs ·'!M18,'NeatRescue — Revenue &amp; costs ·'!M19)</f>
        <v>18013.273470804666</v>
      </c>
    </row>
    <row r="18" outlineLevel="1">
      <c r="A18" t="inlineStr" s="20">
        <is>
          <t xml:space="preserve">Starter</t>
        </is>
      </c>
      <c r="B18" s="11">
        <f>'NeatRescue — Revenue &amp; costs ·'!B15*'NeatRescue — Assumptions &amp; (2)'!D5</f>
        <v>240</v>
      </c>
      <c r="C18" s="11">
        <f>'NeatRescue — Revenue &amp; costs ·'!C15*'NeatRescue — Assumptions &amp; (2)'!D5</f>
        <v>492.00000000000006</v>
      </c>
      <c r="D18" s="11">
        <f>'NeatRescue — Revenue &amp; costs ·'!D15*'NeatRescue — Assumptions &amp; (2)'!D5</f>
        <v>757.8000000000002</v>
      </c>
      <c r="E18" s="11">
        <f>'NeatRescue — Revenue &amp; costs ·'!E15*'NeatRescue — Assumptions &amp; (2)'!D5</f>
        <v>1039.3500000000004</v>
      </c>
      <c r="F18" s="11">
        <f>'NeatRescue — Revenue &amp; costs ·'!F15*'NeatRescue — Assumptions &amp; (2)'!D5</f>
        <v>1338.7665000000004</v>
      </c>
      <c r="G18" s="11">
        <f>'NeatRescue — Revenue &amp; costs ·'!G15*'NeatRescue — Assumptions &amp; (2)'!D5</f>
        <v>1658.3505750000006</v>
      </c>
      <c r="H18" s="11">
        <f>'NeatRescue — Revenue &amp; costs ·'!H15*'NeatRescue — Assumptions &amp; (2)'!D5</f>
        <v>2000.6076862500006</v>
      </c>
      <c r="I18" s="11">
        <f>'NeatRescue — Revenue &amp; costs ·'!I15*'NeatRescue — Assumptions &amp; (2)'!D5</f>
        <v>2368.2694059375012</v>
      </c>
      <c r="J18" s="11">
        <f>'NeatRescue — Revenue &amp; costs ·'!J15*'NeatRescue — Assumptions &amp; (2)'!D5</f>
        <v>2764.3172500406267</v>
      </c>
      <c r="K18" s="11">
        <f>'NeatRescue — Revenue &amp; costs ·'!K15*'NeatRescue — Assumptions &amp; (2)'!D5</f>
        <v>3192.0088333785957</v>
      </c>
      <c r="L18" s="11">
        <f>'NeatRescue — Revenue &amp; costs ·'!L15*'NeatRescue — Assumptions &amp; (2)'!D5</f>
        <v>3654.9065821336667</v>
      </c>
      <c r="M18" s="11">
        <f>'NeatRescue — Revenue &amp; costs ·'!M15*'NeatRescue — Assumptions &amp; (2)'!D5</f>
        <v>4156.909262493385</v>
      </c>
    </row>
    <row r="19" outlineLevel="1">
      <c r="A19" t="inlineStr" s="20">
        <is>
          <t xml:space="preserve">Team</t>
        </is>
      </c>
      <c r="B19" s="11">
        <f>'NeatRescue — Revenue &amp; costs ·'!B16*'NeatRescue — Assumptions &amp; (2)'!D6</f>
        <v>800</v>
      </c>
      <c r="C19" s="11">
        <f>'NeatRescue — Revenue &amp; costs ·'!C16*'NeatRescue — Assumptions &amp; (2)'!D6</f>
        <v>1640.0000000000002</v>
      </c>
      <c r="D19" s="11">
        <f>'NeatRescue — Revenue &amp; costs ·'!D16*'NeatRescue — Assumptions &amp; (2)'!D6</f>
        <v>2526.0000000000005</v>
      </c>
      <c r="E19" s="11">
        <f>'NeatRescue — Revenue &amp; costs ·'!E16*'NeatRescue — Assumptions &amp; (2)'!D6</f>
        <v>3464.500000000001</v>
      </c>
      <c r="F19" s="11">
        <f>'NeatRescue — Revenue &amp; costs ·'!F16*'NeatRescue — Assumptions &amp; (2)'!D6</f>
        <v>4462.555000000001</v>
      </c>
      <c r="G19" s="11">
        <f>'NeatRescue — Revenue &amp; costs ·'!G16*'NeatRescue — Assumptions &amp; (2)'!D6</f>
        <v>5527.835250000002</v>
      </c>
      <c r="H19" s="11">
        <f>'NeatRescue — Revenue &amp; costs ·'!H16*'NeatRescue — Assumptions &amp; (2)'!D6</f>
        <v>6668.692287500002</v>
      </c>
      <c r="I19" s="11">
        <f>'NeatRescue — Revenue &amp; costs ·'!I16*'NeatRescue — Assumptions &amp; (2)'!D6</f>
        <v>7894.231353125004</v>
      </c>
      <c r="J19" s="11">
        <f>'NeatRescue — Revenue &amp; costs ·'!J16*'NeatRescue — Assumptions &amp; (2)'!D6</f>
        <v>9214.390833468755</v>
      </c>
      <c r="K19" s="11">
        <f>'NeatRescue — Revenue &amp; costs ·'!K16*'NeatRescue — Assumptions &amp; (2)'!D6</f>
        <v>10640.029444595319</v>
      </c>
      <c r="L19" s="11">
        <f>'NeatRescue — Revenue &amp; costs ·'!L16*'NeatRescue — Assumptions &amp; (2)'!D6</f>
        <v>12183.021940445557</v>
      </c>
      <c r="M19" s="11">
        <f>'NeatRescue — Revenue &amp; costs ·'!M16*'NeatRescue — Assumptions &amp; (2)'!D6</f>
        <v>13856.364208311283</v>
      </c>
    </row>
    <row r="20">
      <c r="A20" t="inlineStr" s="5">
        <is>
          <t xml:space="preserve">Subscription revenue</t>
        </is>
      </c>
      <c r="B20" s="10">
        <f>SUM('NeatRescue — Revenue &amp; costs ·'!B21,'NeatRescue — Revenue &amp; costs ·'!B22)</f>
        <v>297</v>
      </c>
      <c r="C20" s="10">
        <f>SUM('NeatRescue — Revenue &amp; costs ·'!C21,'NeatRescue — Revenue &amp; costs ·'!C22)</f>
        <v>608.8500000000001</v>
      </c>
      <c r="D20" s="10">
        <f>SUM('NeatRescue — Revenue &amp; costs ·'!D21,'NeatRescue — Revenue &amp; costs ·'!D22)</f>
        <v>937.7775000000001</v>
      </c>
      <c r="E20" s="10">
        <f>SUM('NeatRescue — Revenue &amp; costs ·'!E21,'NeatRescue — Revenue &amp; costs ·'!E22)</f>
        <v>1286.1956250000003</v>
      </c>
      <c r="F20" s="10">
        <f>SUM('NeatRescue — Revenue &amp; costs ·'!F21,'NeatRescue — Revenue &amp; costs ·'!F22)</f>
        <v>1656.7235437500003</v>
      </c>
      <c r="G20" s="10">
        <f>SUM('NeatRescue — Revenue &amp; costs ·'!G21,'NeatRescue — Revenue &amp; costs ·'!G22)</f>
        <v>2052.208836562501</v>
      </c>
      <c r="H20" s="10">
        <f>SUM('NeatRescue — Revenue &amp; costs ·'!H21,'NeatRescue — Revenue &amp; costs ·'!H22)</f>
        <v>2475.7520117343756</v>
      </c>
      <c r="I20" s="10">
        <f>SUM('NeatRescue — Revenue &amp; costs ·'!I21,'NeatRescue — Revenue &amp; costs ·'!I22)</f>
        <v>2930.7333898476577</v>
      </c>
      <c r="J20" s="10">
        <f>SUM('NeatRescue — Revenue &amp; costs ·'!J21,'NeatRescue — Revenue &amp; costs ·'!J22)</f>
        <v>3420.842596925275</v>
      </c>
      <c r="K20" s="10">
        <f>SUM('NeatRescue — Revenue &amp; costs ·'!K21,'NeatRescue — Revenue &amp; costs ·'!K22)</f>
        <v>3950.1109313060124</v>
      </c>
      <c r="L20" s="10">
        <f>SUM('NeatRescue — Revenue &amp; costs ·'!L21,'NeatRescue — Revenue &amp; costs ·'!L22)</f>
        <v>4522.9468953904125</v>
      </c>
      <c r="M20" s="10">
        <f>SUM('NeatRescue — Revenue &amp; costs ·'!M21,'NeatRescue — Revenue &amp; costs ·'!M22)</f>
        <v>5144.175212335564</v>
      </c>
    </row>
    <row r="21" outlineLevel="1">
      <c r="A21" t="inlineStr" s="20">
        <is>
          <t xml:space="preserve">Starter</t>
        </is>
      </c>
      <c r="B21" s="11">
        <f>'NeatRescue — Revenue &amp; costs ·'!B15*'NeatRescue — Assumptions &amp; (2)'!B5</f>
        <v>98</v>
      </c>
      <c r="C21" s="11">
        <f>'NeatRescue — Revenue &amp; costs ·'!C15*'NeatRescue — Assumptions &amp; (2)'!B5</f>
        <v>200.90000000000003</v>
      </c>
      <c r="D21" s="11">
        <f>'NeatRescue — Revenue &amp; costs ·'!D15*'NeatRescue — Assumptions &amp; (2)'!B5</f>
        <v>309.43500000000006</v>
      </c>
      <c r="E21" s="11">
        <f>'NeatRescue — Revenue &amp; costs ·'!E15*'NeatRescue — Assumptions &amp; (2)'!B5</f>
        <v>424.4012500000001</v>
      </c>
      <c r="F21" s="11">
        <f>'NeatRescue — Revenue &amp; costs ·'!F15*'NeatRescue — Assumptions &amp; (2)'!B5</f>
        <v>546.6629875000001</v>
      </c>
      <c r="G21" s="11">
        <f>'NeatRescue — Revenue &amp; costs ·'!G15*'NeatRescue — Assumptions &amp; (2)'!B5</f>
        <v>677.1598181250002</v>
      </c>
      <c r="H21" s="11">
        <f>'NeatRescue — Revenue &amp; costs ·'!H15*'NeatRescue — Assumptions &amp; (2)'!B5</f>
        <v>816.9148052187503</v>
      </c>
      <c r="I21" s="11">
        <f>'NeatRescue — Revenue &amp; costs ·'!I15*'NeatRescue — Assumptions &amp; (2)'!B5</f>
        <v>967.043340757813</v>
      </c>
      <c r="J21" s="11">
        <f>'NeatRescue — Revenue &amp; costs ·'!J15*'NeatRescue — Assumptions &amp; (2)'!B5</f>
        <v>1128.7628770999224</v>
      </c>
      <c r="K21" s="11">
        <f>'NeatRescue — Revenue &amp; costs ·'!K15*'NeatRescue — Assumptions &amp; (2)'!B5</f>
        <v>1303.4036069629267</v>
      </c>
      <c r="L21" s="11">
        <f>'NeatRescue — Revenue &amp; costs ·'!L15*'NeatRescue — Assumptions &amp; (2)'!B5</f>
        <v>1492.4201877045807</v>
      </c>
      <c r="M21" s="11">
        <f>'NeatRescue — Revenue &amp; costs ·'!M15*'NeatRescue — Assumptions &amp; (2)'!B5</f>
        <v>1697.404615518132</v>
      </c>
    </row>
    <row r="22" outlineLevel="1">
      <c r="A22" t="inlineStr" s="20">
        <is>
          <t xml:space="preserve">Team</t>
        </is>
      </c>
      <c r="B22" s="11">
        <f>'NeatRescue — Revenue &amp; costs ·'!B16*'NeatRescue — Assumptions &amp; (2)'!B6</f>
        <v>199</v>
      </c>
      <c r="C22" s="11">
        <f>'NeatRescue — Revenue &amp; costs ·'!C16*'NeatRescue — Assumptions &amp; (2)'!B6</f>
        <v>407.95000000000005</v>
      </c>
      <c r="D22" s="11">
        <f>'NeatRescue — Revenue &amp; costs ·'!D16*'NeatRescue — Assumptions &amp; (2)'!B6</f>
        <v>628.3425000000001</v>
      </c>
      <c r="E22" s="11">
        <f>'NeatRescue — Revenue &amp; costs ·'!E16*'NeatRescue — Assumptions &amp; (2)'!B6</f>
        <v>861.7943750000003</v>
      </c>
      <c r="F22" s="11">
        <f>'NeatRescue — Revenue &amp; costs ·'!F16*'NeatRescue — Assumptions &amp; (2)'!B6</f>
        <v>1110.0605562500002</v>
      </c>
      <c r="G22" s="11">
        <f>'NeatRescue — Revenue &amp; costs ·'!G16*'NeatRescue — Assumptions &amp; (2)'!B6</f>
        <v>1375.0490184375005</v>
      </c>
      <c r="H22" s="11">
        <f>'NeatRescue — Revenue &amp; costs ·'!H16*'NeatRescue — Assumptions &amp; (2)'!B6</f>
        <v>1658.8372065156254</v>
      </c>
      <c r="I22" s="11">
        <f>'NeatRescue — Revenue &amp; costs ·'!I16*'NeatRescue — Assumptions &amp; (2)'!B6</f>
        <v>1963.6900490898447</v>
      </c>
      <c r="J22" s="11">
        <f>'NeatRescue — Revenue &amp; costs ·'!J16*'NeatRescue — Assumptions &amp; (2)'!B6</f>
        <v>2292.0797198253526</v>
      </c>
      <c r="K22" s="11">
        <f>'NeatRescue — Revenue &amp; costs ·'!K16*'NeatRescue — Assumptions &amp; (2)'!B6</f>
        <v>2646.7073243430855</v>
      </c>
      <c r="L22" s="11">
        <f>'NeatRescue — Revenue &amp; costs ·'!L16*'NeatRescue — Assumptions &amp; (2)'!B6</f>
        <v>3030.526707685832</v>
      </c>
      <c r="M22" s="11">
        <f>'NeatRescue — Revenue &amp; costs ·'!M16*'NeatRescue — Assumptions &amp; (2)'!B6</f>
        <v>3446.7705968174314</v>
      </c>
    </row>
    <row r="23">
      <c r="A23" t="inlineStr" s="5">
        <is>
          <t xml:space="preserve">Verification overage revenue</t>
        </is>
      </c>
      <c r="B23" s="10">
        <f>SUM('NeatRescue — Revenue &amp; costs ·'!B24,'NeatRescue — Revenue &amp; costs ·'!B25)</f>
        <v>24</v>
      </c>
      <c r="C23" s="10">
        <f>SUM('NeatRescue — Revenue &amp; costs ·'!C24,'NeatRescue — Revenue &amp; costs ·'!C25)</f>
        <v>49.20000000000001</v>
      </c>
      <c r="D23" s="10">
        <f>SUM('NeatRescue — Revenue &amp; costs ·'!D24,'NeatRescue — Revenue &amp; costs ·'!D25)</f>
        <v>75.78000000000002</v>
      </c>
      <c r="E23" s="10">
        <f>SUM('NeatRescue — Revenue &amp; costs ·'!E24,'NeatRescue — Revenue &amp; costs ·'!E25)</f>
        <v>103.93500000000003</v>
      </c>
      <c r="F23" s="10">
        <f>SUM('NeatRescue — Revenue &amp; costs ·'!F24,'NeatRescue — Revenue &amp; costs ·'!F25)</f>
        <v>133.87665000000004</v>
      </c>
      <c r="G23" s="10">
        <f>SUM('NeatRescue — Revenue &amp; costs ·'!G24,'NeatRescue — Revenue &amp; costs ·'!G25)</f>
        <v>165.83505750000006</v>
      </c>
      <c r="H23" s="10">
        <f>SUM('NeatRescue — Revenue &amp; costs ·'!H24,'NeatRescue — Revenue &amp; costs ·'!H25)</f>
        <v>200.0607686250001</v>
      </c>
      <c r="I23" s="10">
        <f>SUM('NeatRescue — Revenue &amp; costs ·'!I24,'NeatRescue — Revenue &amp; costs ·'!I25)</f>
        <v>236.82694059375012</v>
      </c>
      <c r="J23" s="10">
        <f>SUM('NeatRescue — Revenue &amp; costs ·'!J24,'NeatRescue — Revenue &amp; costs ·'!J25)</f>
        <v>276.4317250040627</v>
      </c>
      <c r="K23" s="10">
        <f>SUM('NeatRescue — Revenue &amp; costs ·'!K24,'NeatRescue — Revenue &amp; costs ·'!K25)</f>
        <v>319.2008833378596</v>
      </c>
      <c r="L23" s="10">
        <f>SUM('NeatRescue — Revenue &amp; costs ·'!L24,'NeatRescue — Revenue &amp; costs ·'!L25)</f>
        <v>365.4906582133667</v>
      </c>
      <c r="M23" s="10">
        <f>SUM('NeatRescue — Revenue &amp; costs ·'!M24,'NeatRescue — Revenue &amp; costs ·'!M25)</f>
        <v>415.69092624933853</v>
      </c>
    </row>
    <row r="24" outlineLevel="1">
      <c r="A24" t="inlineStr" s="20">
        <is>
          <t xml:space="preserve">Starter</t>
        </is>
      </c>
      <c r="B24" s="11">
        <f>'NeatRescue — Revenue &amp; costs ·'!B15*MAX('NeatRescue — Assumptions &amp; (2)'!D5-'NeatRescue — Assumptions &amp; (2)'!C5,0)*'NeatRescue — Assumptions &amp; (2)'!E5</f>
        <v>4</v>
      </c>
      <c r="C24" s="11">
        <f>'NeatRescue — Revenue &amp; costs ·'!C15*MAX('NeatRescue — Assumptions &amp; (2)'!D5-'NeatRescue — Assumptions &amp; (2)'!C5,0)*'NeatRescue — Assumptions &amp; (2)'!E5</f>
        <v>8.200000000000001</v>
      </c>
      <c r="D24" s="11">
        <f>'NeatRescue — Revenue &amp; costs ·'!D15*MAX('NeatRescue — Assumptions &amp; (2)'!D5-'NeatRescue — Assumptions &amp; (2)'!C5,0)*'NeatRescue — Assumptions &amp; (2)'!E5</f>
        <v>12.630000000000003</v>
      </c>
      <c r="E24" s="11">
        <f>'NeatRescue — Revenue &amp; costs ·'!E15*MAX('NeatRescue — Assumptions &amp; (2)'!D5-'NeatRescue — Assumptions &amp; (2)'!C5,0)*'NeatRescue — Assumptions &amp; (2)'!E5</f>
        <v>17.322500000000005</v>
      </c>
      <c r="F24" s="11">
        <f>'NeatRescue — Revenue &amp; costs ·'!F15*MAX('NeatRescue — Assumptions &amp; (2)'!D5-'NeatRescue — Assumptions &amp; (2)'!C5,0)*'NeatRescue — Assumptions &amp; (2)'!E5</f>
        <v>22.312775000000006</v>
      </c>
      <c r="G24" s="11">
        <f>'NeatRescue — Revenue &amp; costs ·'!G15*MAX('NeatRescue — Assumptions &amp; (2)'!D5-'NeatRescue — Assumptions &amp; (2)'!C5,0)*'NeatRescue — Assumptions &amp; (2)'!E5</f>
        <v>27.63917625000001</v>
      </c>
      <c r="H24" s="11">
        <f>'NeatRescue — Revenue &amp; costs ·'!H15*MAX('NeatRescue — Assumptions &amp; (2)'!D5-'NeatRescue — Assumptions &amp; (2)'!C5,0)*'NeatRescue — Assumptions &amp; (2)'!E5</f>
        <v>33.34346143750002</v>
      </c>
      <c r="I24" s="11">
        <f>'NeatRescue — Revenue &amp; costs ·'!I15*MAX('NeatRescue — Assumptions &amp; (2)'!D5-'NeatRescue — Assumptions &amp; (2)'!C5,0)*'NeatRescue — Assumptions &amp; (2)'!E5</f>
        <v>39.47115676562502</v>
      </c>
      <c r="J24" s="11">
        <f>'NeatRescue — Revenue &amp; costs ·'!J15*MAX('NeatRescue — Assumptions &amp; (2)'!D5-'NeatRescue — Assumptions &amp; (2)'!C5,0)*'NeatRescue — Assumptions &amp; (2)'!E5</f>
        <v>46.07195416734378</v>
      </c>
      <c r="K24" s="11">
        <f>'NeatRescue — Revenue &amp; costs ·'!K15*MAX('NeatRescue — Assumptions &amp; (2)'!D5-'NeatRescue — Assumptions &amp; (2)'!C5,0)*'NeatRescue — Assumptions &amp; (2)'!E5</f>
        <v>53.200147222976604</v>
      </c>
      <c r="L24" s="11">
        <f>'NeatRescue — Revenue &amp; costs ·'!L15*MAX('NeatRescue — Assumptions &amp; (2)'!D5-'NeatRescue — Assumptions &amp; (2)'!C5,0)*'NeatRescue — Assumptions &amp; (2)'!E5</f>
        <v>60.91510970222778</v>
      </c>
      <c r="M24" s="11">
        <f>'NeatRescue — Revenue &amp; costs ·'!M15*MAX('NeatRescue — Assumptions &amp; (2)'!D5-'NeatRescue — Assumptions &amp; (2)'!C5,0)*'NeatRescue — Assumptions &amp; (2)'!E5</f>
        <v>69.28182104155643</v>
      </c>
    </row>
    <row r="25" outlineLevel="1">
      <c r="A25" t="inlineStr" s="20">
        <is>
          <t xml:space="preserve">Team</t>
        </is>
      </c>
      <c r="B25" s="11">
        <f>'NeatRescue — Revenue &amp; costs ·'!B16*MAX('NeatRescue — Assumptions &amp; (2)'!D6-'NeatRescue — Assumptions &amp; (2)'!C6,0)*'NeatRescue — Assumptions &amp; (2)'!E6</f>
        <v>20</v>
      </c>
      <c r="C25" s="11">
        <f>'NeatRescue — Revenue &amp; costs ·'!C16*MAX('NeatRescue — Assumptions &amp; (2)'!D6-'NeatRescue — Assumptions &amp; (2)'!C6,0)*'NeatRescue — Assumptions &amp; (2)'!E6</f>
        <v>41.00000000000001</v>
      </c>
      <c r="D25" s="11">
        <f>'NeatRescue — Revenue &amp; costs ·'!D16*MAX('NeatRescue — Assumptions &amp; (2)'!D6-'NeatRescue — Assumptions &amp; (2)'!C6,0)*'NeatRescue — Assumptions &amp; (2)'!E6</f>
        <v>63.15000000000001</v>
      </c>
      <c r="E25" s="11">
        <f>'NeatRescue — Revenue &amp; costs ·'!E16*MAX('NeatRescue — Assumptions &amp; (2)'!D6-'NeatRescue — Assumptions &amp; (2)'!C6,0)*'NeatRescue — Assumptions &amp; (2)'!E6</f>
        <v>86.61250000000003</v>
      </c>
      <c r="F25" s="11">
        <f>'NeatRescue — Revenue &amp; costs ·'!F16*MAX('NeatRescue — Assumptions &amp; (2)'!D6-'NeatRescue — Assumptions &amp; (2)'!C6,0)*'NeatRescue — Assumptions &amp; (2)'!E6</f>
        <v>111.56387500000004</v>
      </c>
      <c r="G25" s="11">
        <f>'NeatRescue — Revenue &amp; costs ·'!G16*MAX('NeatRescue — Assumptions &amp; (2)'!D6-'NeatRescue — Assumptions &amp; (2)'!C6,0)*'NeatRescue — Assumptions &amp; (2)'!E6</f>
        <v>138.19588125000004</v>
      </c>
      <c r="H25" s="11">
        <f>'NeatRescue — Revenue &amp; costs ·'!H16*MAX('NeatRescue — Assumptions &amp; (2)'!D6-'NeatRescue — Assumptions &amp; (2)'!C6,0)*'NeatRescue — Assumptions &amp; (2)'!E6</f>
        <v>166.71730718750007</v>
      </c>
      <c r="I25" s="11">
        <f>'NeatRescue — Revenue &amp; costs ·'!I16*MAX('NeatRescue — Assumptions &amp; (2)'!D6-'NeatRescue — Assumptions &amp; (2)'!C6,0)*'NeatRescue — Assumptions &amp; (2)'!E6</f>
        <v>197.3557838281251</v>
      </c>
      <c r="J25" s="11">
        <f>'NeatRescue — Revenue &amp; costs ·'!J16*MAX('NeatRescue — Assumptions &amp; (2)'!D6-'NeatRescue — Assumptions &amp; (2)'!C6,0)*'NeatRescue — Assumptions &amp; (2)'!E6</f>
        <v>230.3597708367189</v>
      </c>
      <c r="K25" s="11">
        <f>'NeatRescue — Revenue &amp; costs ·'!K16*MAX('NeatRescue — Assumptions &amp; (2)'!D6-'NeatRescue — Assumptions &amp; (2)'!C6,0)*'NeatRescue — Assumptions &amp; (2)'!E6</f>
        <v>266.00073611488295</v>
      </c>
      <c r="L25" s="11">
        <f>'NeatRescue — Revenue &amp; costs ·'!L16*MAX('NeatRescue — Assumptions &amp; (2)'!D6-'NeatRescue — Assumptions &amp; (2)'!C6,0)*'NeatRescue — Assumptions &amp; (2)'!E6</f>
        <v>304.57554851113895</v>
      </c>
      <c r="M25" s="11">
        <f>'NeatRescue — Revenue &amp; costs ·'!M16*MAX('NeatRescue — Assumptions &amp; (2)'!D6-'NeatRescue — Assumptions &amp; (2)'!C6,0)*'NeatRescue — Assumptions &amp; (2)'!E6</f>
        <v>346.4091052077821</v>
      </c>
    </row>
    <row r="26">
      <c r="A26" t="inlineStr" s="5">
        <is>
          <t xml:space="preserve">Revenue</t>
        </is>
      </c>
      <c r="B26" s="10">
        <f>SUM('NeatRescue — Revenue &amp; costs ·'!B27,'NeatRescue — Revenue &amp; costs ·'!B28)</f>
        <v>321</v>
      </c>
      <c r="C26" s="10">
        <f>SUM('NeatRescue — Revenue &amp; costs ·'!C27,'NeatRescue — Revenue &amp; costs ·'!C28)</f>
        <v>658.0500000000001</v>
      </c>
      <c r="D26" s="10">
        <f>SUM('NeatRescue — Revenue &amp; costs ·'!D27,'NeatRescue — Revenue &amp; costs ·'!D28)</f>
        <v>1013.5575000000001</v>
      </c>
      <c r="E26" s="10">
        <f>SUM('NeatRescue — Revenue &amp; costs ·'!E27,'NeatRescue — Revenue &amp; costs ·'!E28)</f>
        <v>1390.1306250000005</v>
      </c>
      <c r="F26" s="10">
        <f>SUM('NeatRescue — Revenue &amp; costs ·'!F27,'NeatRescue — Revenue &amp; costs ·'!F28)</f>
        <v>1790.6001937500005</v>
      </c>
      <c r="G26" s="10">
        <f>SUM('NeatRescue — Revenue &amp; costs ·'!G27,'NeatRescue — Revenue &amp; costs ·'!G28)</f>
        <v>2218.043894062501</v>
      </c>
      <c r="H26" s="10">
        <f>SUM('NeatRescue — Revenue &amp; costs ·'!H27,'NeatRescue — Revenue &amp; costs ·'!H28)</f>
        <v>2675.8127803593757</v>
      </c>
      <c r="I26" s="10">
        <f>SUM('NeatRescue — Revenue &amp; costs ·'!I27,'NeatRescue — Revenue &amp; costs ·'!I28)</f>
        <v>3167.5603304414076</v>
      </c>
      <c r="J26" s="10">
        <f>SUM('NeatRescue — Revenue &amp; costs ·'!J27,'NeatRescue — Revenue &amp; costs ·'!J28)</f>
        <v>3697.274321929338</v>
      </c>
      <c r="K26" s="10">
        <f>SUM('NeatRescue — Revenue &amp; costs ·'!K27,'NeatRescue — Revenue &amp; costs ·'!K28)</f>
        <v>4269.311814643872</v>
      </c>
      <c r="L26" s="10">
        <f>SUM('NeatRescue — Revenue &amp; costs ·'!L27,'NeatRescue — Revenue &amp; costs ·'!L28)</f>
        <v>4888.43755360378</v>
      </c>
      <c r="M26" s="10">
        <f>SUM('NeatRescue — Revenue &amp; costs ·'!M27,'NeatRescue — Revenue &amp; costs ·'!M28)</f>
        <v>5559.866138584902</v>
      </c>
    </row>
    <row r="27" outlineLevel="1">
      <c r="A27" t="inlineStr" s="20">
        <is>
          <t xml:space="preserve">Starter</t>
        </is>
      </c>
      <c r="B27" s="11">
        <f>'NeatRescue — Revenue &amp; costs ·'!B21+'NeatRescue — Revenue &amp; costs ·'!B24</f>
        <v>102</v>
      </c>
      <c r="C27" s="11">
        <f>'NeatRescue — Revenue &amp; costs ·'!C21+'NeatRescue — Revenue &amp; costs ·'!C24</f>
        <v>209.10000000000002</v>
      </c>
      <c r="D27" s="11">
        <f>'NeatRescue — Revenue &amp; costs ·'!D21+'NeatRescue — Revenue &amp; costs ·'!D24</f>
        <v>322.06500000000005</v>
      </c>
      <c r="E27" s="11">
        <f>'NeatRescue — Revenue &amp; costs ·'!E21+'NeatRescue — Revenue &amp; costs ·'!E24</f>
        <v>441.7237500000001</v>
      </c>
      <c r="F27" s="11">
        <f>'NeatRescue — Revenue &amp; costs ·'!F21+'NeatRescue — Revenue &amp; costs ·'!F24</f>
        <v>568.9757625000001</v>
      </c>
      <c r="G27" s="11">
        <f>'NeatRescue — Revenue &amp; costs ·'!G21+'NeatRescue — Revenue &amp; costs ·'!G24</f>
        <v>704.7989943750002</v>
      </c>
      <c r="H27" s="11">
        <f>'NeatRescue — Revenue &amp; costs ·'!H21+'NeatRescue — Revenue &amp; costs ·'!H24</f>
        <v>850.2582666562503</v>
      </c>
      <c r="I27" s="11">
        <f>'NeatRescue — Revenue &amp; costs ·'!I21+'NeatRescue — Revenue &amp; costs ·'!I24</f>
        <v>1006.514497523438</v>
      </c>
      <c r="J27" s="11">
        <f>'NeatRescue — Revenue &amp; costs ·'!J21+'NeatRescue — Revenue &amp; costs ·'!J24</f>
        <v>1174.8348312672663</v>
      </c>
      <c r="K27" s="11">
        <f>'NeatRescue — Revenue &amp; costs ·'!K21+'NeatRescue — Revenue &amp; costs ·'!K24</f>
        <v>1356.6037541859032</v>
      </c>
      <c r="L27" s="11">
        <f>'NeatRescue — Revenue &amp; costs ·'!L21+'NeatRescue — Revenue &amp; costs ·'!L24</f>
        <v>1553.3352974068084</v>
      </c>
      <c r="M27" s="11">
        <f>'NeatRescue — Revenue &amp; costs ·'!M21+'NeatRescue — Revenue &amp; costs ·'!M24</f>
        <v>1766.6864365596884</v>
      </c>
    </row>
    <row r="28" outlineLevel="1">
      <c r="A28" t="inlineStr" s="20">
        <is>
          <t xml:space="preserve">Team</t>
        </is>
      </c>
      <c r="B28" s="11">
        <f>'NeatRescue — Revenue &amp; costs ·'!B22+'NeatRescue — Revenue &amp; costs ·'!B25</f>
        <v>219</v>
      </c>
      <c r="C28" s="11">
        <f>'NeatRescue — Revenue &amp; costs ·'!C22+'NeatRescue — Revenue &amp; costs ·'!C25</f>
        <v>448.95000000000005</v>
      </c>
      <c r="D28" s="11">
        <f>'NeatRescue — Revenue &amp; costs ·'!D22+'NeatRescue — Revenue &amp; costs ·'!D25</f>
        <v>691.4925000000001</v>
      </c>
      <c r="E28" s="11">
        <f>'NeatRescue — Revenue &amp; costs ·'!E22+'NeatRescue — Revenue &amp; costs ·'!E25</f>
        <v>948.4068750000004</v>
      </c>
      <c r="F28" s="11">
        <f>'NeatRescue — Revenue &amp; costs ·'!F22+'NeatRescue — Revenue &amp; costs ·'!F25</f>
        <v>1221.6244312500003</v>
      </c>
      <c r="G28" s="11">
        <f>'NeatRescue — Revenue &amp; costs ·'!G22+'NeatRescue — Revenue &amp; costs ·'!G25</f>
        <v>1513.2448996875005</v>
      </c>
      <c r="H28" s="11">
        <f>'NeatRescue — Revenue &amp; costs ·'!H22+'NeatRescue — Revenue &amp; costs ·'!H25</f>
        <v>1825.5545137031254</v>
      </c>
      <c r="I28" s="11">
        <f>'NeatRescue — Revenue &amp; costs ·'!I22+'NeatRescue — Revenue &amp; costs ·'!I25</f>
        <v>2161.0458329179696</v>
      </c>
      <c r="J28" s="11">
        <f>'NeatRescue — Revenue &amp; costs ·'!J22+'NeatRescue — Revenue &amp; costs ·'!J25</f>
        <v>2522.4394906620714</v>
      </c>
      <c r="K28" s="11">
        <f>'NeatRescue — Revenue &amp; costs ·'!K22+'NeatRescue — Revenue &amp; costs ·'!K25</f>
        <v>2912.7080604579683</v>
      </c>
      <c r="L28" s="11">
        <f>'NeatRescue — Revenue &amp; costs ·'!L22+'NeatRescue — Revenue &amp; costs ·'!L25</f>
        <v>3335.102256196971</v>
      </c>
      <c r="M28" s="11">
        <f>'NeatRescue — Revenue &amp; costs ·'!M22+'NeatRescue — Revenue &amp; costs ·'!M25</f>
        <v>3793.1797020252134</v>
      </c>
    </row>
    <row r="29">
      <c r="A29" t="inlineStr" s="5">
        <is>
          <t xml:space="preserve">Inference expense</t>
        </is>
      </c>
      <c r="B29" s="10">
        <f>SUM('NeatRescue — Revenue &amp; costs ·'!B30,'NeatRescue — Revenue &amp; costs ·'!B31)</f>
        <v>52</v>
      </c>
      <c r="C29" s="10">
        <f>SUM('NeatRescue — Revenue &amp; costs ·'!C30,'NeatRescue — Revenue &amp; costs ·'!C31)</f>
        <v>106.60000000000002</v>
      </c>
      <c r="D29" s="10">
        <f>SUM('NeatRescue — Revenue &amp; costs ·'!D30,'NeatRescue — Revenue &amp; costs ·'!D31)</f>
        <v>164.19000000000003</v>
      </c>
      <c r="E29" s="10">
        <f>SUM('NeatRescue — Revenue &amp; costs ·'!E30,'NeatRescue — Revenue &amp; costs ·'!E31)</f>
        <v>225.19250000000008</v>
      </c>
      <c r="F29" s="10">
        <f>SUM('NeatRescue — Revenue &amp; costs ·'!F30,'NeatRescue — Revenue &amp; costs ·'!F31)</f>
        <v>290.06607500000007</v>
      </c>
      <c r="G29" s="10">
        <f>SUM('NeatRescue — Revenue &amp; costs ·'!G30,'NeatRescue — Revenue &amp; costs ·'!G31)</f>
        <v>359.3092912500001</v>
      </c>
      <c r="H29" s="10">
        <f>SUM('NeatRescue — Revenue &amp; costs ·'!H30,'NeatRescue — Revenue &amp; costs ·'!H31)</f>
        <v>433.46499868750016</v>
      </c>
      <c r="I29" s="10">
        <f>SUM('NeatRescue — Revenue &amp; costs ·'!I30,'NeatRescue — Revenue &amp; costs ·'!I31)</f>
        <v>513.1250379531252</v>
      </c>
      <c r="J29" s="10">
        <f>SUM('NeatRescue — Revenue &amp; costs ·'!J30,'NeatRescue — Revenue &amp; costs ·'!J31)</f>
        <v>598.9354041754691</v>
      </c>
      <c r="K29" s="10">
        <f>SUM('NeatRescue — Revenue &amp; costs ·'!K30,'NeatRescue — Revenue &amp; costs ·'!K31)</f>
        <v>691.6019138986957</v>
      </c>
      <c r="L29" s="10">
        <f>SUM('NeatRescue — Revenue &amp; costs ·'!L30,'NeatRescue — Revenue &amp; costs ·'!L31)</f>
        <v>791.8964261289613</v>
      </c>
      <c r="M29" s="10">
        <f>SUM('NeatRescue — Revenue &amp; costs ·'!M30,'NeatRescue — Revenue &amp; costs ·'!M31)</f>
        <v>900.6636735402334</v>
      </c>
    </row>
    <row r="30" outlineLevel="1">
      <c r="A30" t="inlineStr" s="20">
        <is>
          <t xml:space="preserve">Starter</t>
        </is>
      </c>
      <c r="B30" s="11">
        <f>'NeatRescue — Revenue &amp; costs ·'!B18*'NeatRescue — Assumptions &amp; simu'!B7</f>
        <v>12</v>
      </c>
      <c r="C30" s="11">
        <f>'NeatRescue — Revenue &amp; costs ·'!C18*'NeatRescue — Assumptions &amp; simu'!B7</f>
        <v>24.600000000000005</v>
      </c>
      <c r="D30" s="11">
        <f>'NeatRescue — Revenue &amp; costs ·'!D18*'NeatRescue — Assumptions &amp; simu'!B7</f>
        <v>37.89000000000001</v>
      </c>
      <c r="E30" s="11">
        <f>'NeatRescue — Revenue &amp; costs ·'!E18*'NeatRescue — Assumptions &amp; simu'!B7</f>
        <v>51.96750000000002</v>
      </c>
      <c r="F30" s="11">
        <f>'NeatRescue — Revenue &amp; costs ·'!F18*'NeatRescue — Assumptions &amp; simu'!B7</f>
        <v>66.93832500000002</v>
      </c>
      <c r="G30" s="11">
        <f>'NeatRescue — Revenue &amp; costs ·'!G18*'NeatRescue — Assumptions &amp; simu'!B7</f>
        <v>82.91752875000003</v>
      </c>
      <c r="H30" s="11">
        <f>'NeatRescue — Revenue &amp; costs ·'!H18*'NeatRescue — Assumptions &amp; simu'!B7</f>
        <v>100.03038431250003</v>
      </c>
      <c r="I30" s="11">
        <f>'NeatRescue — Revenue &amp; costs ·'!I18*'NeatRescue — Assumptions &amp; simu'!B7</f>
        <v>118.41347029687506</v>
      </c>
      <c r="J30" s="11">
        <f>'NeatRescue — Revenue &amp; costs ·'!J18*'NeatRescue — Assumptions &amp; simu'!B7</f>
        <v>138.21586250203134</v>
      </c>
      <c r="K30" s="11">
        <f>'NeatRescue — Revenue &amp; costs ·'!K18*'NeatRescue — Assumptions &amp; simu'!B7</f>
        <v>159.6004416689298</v>
      </c>
      <c r="L30" s="11">
        <f>'NeatRescue — Revenue &amp; costs ·'!L18*'NeatRescue — Assumptions &amp; simu'!B7</f>
        <v>182.74532910668336</v>
      </c>
      <c r="M30" s="11">
        <f>'NeatRescue — Revenue &amp; costs ·'!M18*'NeatRescue — Assumptions &amp; simu'!B7</f>
        <v>207.84546312466924</v>
      </c>
    </row>
    <row r="31" outlineLevel="1">
      <c r="A31" t="inlineStr" s="20">
        <is>
          <t xml:space="preserve">Team</t>
        </is>
      </c>
      <c r="B31" s="11">
        <f>'NeatRescue — Revenue &amp; costs ·'!B19*'NeatRescue — Assumptions &amp; simu'!B7</f>
        <v>40</v>
      </c>
      <c r="C31" s="11">
        <f>'NeatRescue — Revenue &amp; costs ·'!C19*'NeatRescue — Assumptions &amp; simu'!B7</f>
        <v>82.00000000000001</v>
      </c>
      <c r="D31" s="11">
        <f>'NeatRescue — Revenue &amp; costs ·'!D19*'NeatRescue — Assumptions &amp; simu'!B7</f>
        <v>126.30000000000003</v>
      </c>
      <c r="E31" s="11">
        <f>'NeatRescue — Revenue &amp; costs ·'!E19*'NeatRescue — Assumptions &amp; simu'!B7</f>
        <v>173.22500000000005</v>
      </c>
      <c r="F31" s="11">
        <f>'NeatRescue — Revenue &amp; costs ·'!F19*'NeatRescue — Assumptions &amp; simu'!B7</f>
        <v>223.12775000000008</v>
      </c>
      <c r="G31" s="11">
        <f>'NeatRescue — Revenue &amp; costs ·'!G19*'NeatRescue — Assumptions &amp; simu'!B7</f>
        <v>276.3917625000001</v>
      </c>
      <c r="H31" s="11">
        <f>'NeatRescue — Revenue &amp; costs ·'!H19*'NeatRescue — Assumptions &amp; simu'!B7</f>
        <v>333.43461437500014</v>
      </c>
      <c r="I31" s="11">
        <f>'NeatRescue — Revenue &amp; costs ·'!I19*'NeatRescue — Assumptions &amp; simu'!B7</f>
        <v>394.7115676562502</v>
      </c>
      <c r="J31" s="11">
        <f>'NeatRescue — Revenue &amp; costs ·'!J19*'NeatRescue — Assumptions &amp; simu'!B7</f>
        <v>460.7195416734378</v>
      </c>
      <c r="K31" s="11">
        <f>'NeatRescue — Revenue &amp; costs ·'!K19*'NeatRescue — Assumptions &amp; simu'!B7</f>
        <v>532.0014722297659</v>
      </c>
      <c r="L31" s="11">
        <f>'NeatRescue — Revenue &amp; costs ·'!L19*'NeatRescue — Assumptions &amp; simu'!B7</f>
        <v>609.1510970222779</v>
      </c>
      <c r="M31" s="11">
        <f>'NeatRescue — Revenue &amp; costs ·'!M19*'NeatRescue — Assumptions &amp; simu'!B7</f>
        <v>692.8182104155642</v>
      </c>
    </row>
    <row r="32">
      <c r="A32" t="inlineStr" s="5">
        <is>
          <t xml:space="preserve">Variable compute expense</t>
        </is>
      </c>
      <c r="B32" s="10">
        <f>SUM('NeatRescue — Revenue &amp; costs ·'!B33,'NeatRescue — Revenue &amp; costs ·'!B34)</f>
        <v>15.6</v>
      </c>
      <c r="C32" s="10">
        <f>SUM('NeatRescue — Revenue &amp; costs ·'!C33,'NeatRescue — Revenue &amp; costs ·'!C34)</f>
        <v>31.980000000000004</v>
      </c>
      <c r="D32" s="10">
        <f>SUM('NeatRescue — Revenue &amp; costs ·'!D33,'NeatRescue — Revenue &amp; costs ·'!D34)</f>
        <v>49.25700000000001</v>
      </c>
      <c r="E32" s="10">
        <f>SUM('NeatRescue — Revenue &amp; costs ·'!E33,'NeatRescue — Revenue &amp; costs ·'!E34)</f>
        <v>67.55775000000001</v>
      </c>
      <c r="F32" s="10">
        <f>SUM('NeatRescue — Revenue &amp; costs ·'!F33,'NeatRescue — Revenue &amp; costs ·'!F34)</f>
        <v>87.01982250000003</v>
      </c>
      <c r="G32" s="10">
        <f>SUM('NeatRescue — Revenue &amp; costs ·'!G33,'NeatRescue — Revenue &amp; costs ·'!G34)</f>
        <v>107.79278737500005</v>
      </c>
      <c r="H32" s="10">
        <f>SUM('NeatRescue — Revenue &amp; costs ·'!H33,'NeatRescue — Revenue &amp; costs ·'!H34)</f>
        <v>130.03949960625002</v>
      </c>
      <c r="I32" s="10">
        <f>SUM('NeatRescue — Revenue &amp; costs ·'!I33,'NeatRescue — Revenue &amp; costs ·'!I34)</f>
        <v>153.93751138593757</v>
      </c>
      <c r="J32" s="10">
        <f>SUM('NeatRescue — Revenue &amp; costs ·'!J33,'NeatRescue — Revenue &amp; costs ·'!J34)</f>
        <v>179.68062125264072</v>
      </c>
      <c r="K32" s="10">
        <f>SUM('NeatRescue — Revenue &amp; costs ·'!K33,'NeatRescue — Revenue &amp; costs ·'!K34)</f>
        <v>207.4805741696087</v>
      </c>
      <c r="L32" s="10">
        <f>SUM('NeatRescue — Revenue &amp; costs ·'!L33,'NeatRescue — Revenue &amp; costs ·'!L34)</f>
        <v>237.56892783868832</v>
      </c>
      <c r="M32" s="10">
        <f>SUM('NeatRescue — Revenue &amp; costs ·'!M33,'NeatRescue — Revenue &amp; costs ·'!M34)</f>
        <v>270.19910206207</v>
      </c>
    </row>
    <row r="33" outlineLevel="1">
      <c r="A33" t="inlineStr" s="20">
        <is>
          <t xml:space="preserve">Starter</t>
        </is>
      </c>
      <c r="B33" s="11">
        <f>'NeatRescue — Revenue &amp; costs ·'!B18*'NeatRescue — Assumptions &amp; simu'!B8</f>
        <v>3.5999999999999996</v>
      </c>
      <c r="C33" s="11">
        <f>'NeatRescue — Revenue &amp; costs ·'!C18*'NeatRescue — Assumptions &amp; simu'!B8</f>
        <v>7.380000000000001</v>
      </c>
      <c r="D33" s="11">
        <f>'NeatRescue — Revenue &amp; costs ·'!D18*'NeatRescue — Assumptions &amp; simu'!B8</f>
        <v>11.367000000000003</v>
      </c>
      <c r="E33" s="11">
        <f>'NeatRescue — Revenue &amp; costs ·'!E18*'NeatRescue — Assumptions &amp; simu'!B8</f>
        <v>15.590250000000005</v>
      </c>
      <c r="F33" s="11">
        <f>'NeatRescue — Revenue &amp; costs ·'!F18*'NeatRescue — Assumptions &amp; simu'!B8</f>
        <v>20.081497500000005</v>
      </c>
      <c r="G33" s="11">
        <f>'NeatRescue — Revenue &amp; costs ·'!G18*'NeatRescue — Assumptions &amp; simu'!B8</f>
        <v>24.875258625000008</v>
      </c>
      <c r="H33" s="11">
        <f>'NeatRescue — Revenue &amp; costs ·'!H18*'NeatRescue — Assumptions &amp; simu'!B8</f>
        <v>30.009115293750007</v>
      </c>
      <c r="I33" s="11">
        <f>'NeatRescue — Revenue &amp; costs ·'!I18*'NeatRescue — Assumptions &amp; simu'!B8</f>
        <v>35.524041089062514</v>
      </c>
      <c r="J33" s="11">
        <f>'NeatRescue — Revenue &amp; costs ·'!J18*'NeatRescue — Assumptions &amp; simu'!B8</f>
        <v>41.4647587506094</v>
      </c>
      <c r="K33" s="11">
        <f>'NeatRescue — Revenue &amp; costs ·'!K18*'NeatRescue — Assumptions &amp; simu'!B8</f>
        <v>47.88013250067893</v>
      </c>
      <c r="L33" s="11">
        <f>'NeatRescue — Revenue &amp; costs ·'!L18*'NeatRescue — Assumptions &amp; simu'!B8</f>
        <v>54.823598732004996</v>
      </c>
      <c r="M33" s="11">
        <f>'NeatRescue — Revenue &amp; costs ·'!M18*'NeatRescue — Assumptions &amp; simu'!B8</f>
        <v>62.35363893740077</v>
      </c>
    </row>
    <row r="34" outlineLevel="1">
      <c r="A34" t="inlineStr" s="20">
        <is>
          <t xml:space="preserve">Team</t>
        </is>
      </c>
      <c r="B34" s="11">
        <f>'NeatRescue — Revenue &amp; costs ·'!B19*'NeatRescue — Assumptions &amp; simu'!B8</f>
        <v>12</v>
      </c>
      <c r="C34" s="11">
        <f>'NeatRescue — Revenue &amp; costs ·'!C19*'NeatRescue — Assumptions &amp; simu'!B8</f>
        <v>24.6</v>
      </c>
      <c r="D34" s="11">
        <f>'NeatRescue — Revenue &amp; costs ·'!D19*'NeatRescue — Assumptions &amp; simu'!B8</f>
        <v>37.89000000000001</v>
      </c>
      <c r="E34" s="11">
        <f>'NeatRescue — Revenue &amp; costs ·'!E19*'NeatRescue — Assumptions &amp; simu'!B8</f>
        <v>51.96750000000001</v>
      </c>
      <c r="F34" s="11">
        <f>'NeatRescue — Revenue &amp; costs ·'!F19*'NeatRescue — Assumptions &amp; simu'!B8</f>
        <v>66.93832500000002</v>
      </c>
      <c r="G34" s="11">
        <f>'NeatRescue — Revenue &amp; costs ·'!G19*'NeatRescue — Assumptions &amp; simu'!B8</f>
        <v>82.91752875000003</v>
      </c>
      <c r="H34" s="11">
        <f>'NeatRescue — Revenue &amp; costs ·'!H19*'NeatRescue — Assumptions &amp; simu'!B8</f>
        <v>100.03038431250002</v>
      </c>
      <c r="I34" s="11">
        <f>'NeatRescue — Revenue &amp; costs ·'!I19*'NeatRescue — Assumptions &amp; simu'!B8</f>
        <v>118.41347029687505</v>
      </c>
      <c r="J34" s="11">
        <f>'NeatRescue — Revenue &amp; costs ·'!J19*'NeatRescue — Assumptions &amp; simu'!B8</f>
        <v>138.2158625020313</v>
      </c>
      <c r="K34" s="11">
        <f>'NeatRescue — Revenue &amp; costs ·'!K19*'NeatRescue — Assumptions &amp; simu'!B8</f>
        <v>159.60044166892976</v>
      </c>
      <c r="L34" s="11">
        <f>'NeatRescue — Revenue &amp; costs ·'!L19*'NeatRescue — Assumptions &amp; simu'!B8</f>
        <v>182.74532910668333</v>
      </c>
      <c r="M34" s="11">
        <f>'NeatRescue — Revenue &amp; costs ·'!M19*'NeatRescue — Assumptions &amp; simu'!B8</f>
        <v>207.84546312466924</v>
      </c>
    </row>
    <row r="35">
      <c r="A35" t="inlineStr" s="5">
        <is>
          <t xml:space="preserve">Variable logging expense</t>
        </is>
      </c>
      <c r="B35" s="10">
        <f>SUM('NeatRescue — Revenue &amp; costs ·'!B36,'NeatRescue — Revenue &amp; costs ·'!B37)</f>
        <v>5.2</v>
      </c>
      <c r="C35" s="10">
        <f>SUM('NeatRescue — Revenue &amp; costs ·'!C36,'NeatRescue — Revenue &amp; costs ·'!C37)</f>
        <v>10.660000000000002</v>
      </c>
      <c r="D35" s="10">
        <f>SUM('NeatRescue — Revenue &amp; costs ·'!D36,'NeatRescue — Revenue &amp; costs ·'!D37)</f>
        <v>16.419000000000004</v>
      </c>
      <c r="E35" s="10">
        <f>SUM('NeatRescue — Revenue &amp; costs ·'!E36,'NeatRescue — Revenue &amp; costs ·'!E37)</f>
        <v>22.519250000000007</v>
      </c>
      <c r="F35" s="10">
        <f>SUM('NeatRescue — Revenue &amp; costs ·'!F36,'NeatRescue — Revenue &amp; costs ·'!F37)</f>
        <v>29.00660750000001</v>
      </c>
      <c r="G35" s="10">
        <f>SUM('NeatRescue — Revenue &amp; costs ·'!G36,'NeatRescue — Revenue &amp; costs ·'!G37)</f>
        <v>35.93092912500001</v>
      </c>
      <c r="H35" s="10">
        <f>SUM('NeatRescue — Revenue &amp; costs ·'!H36,'NeatRescue — Revenue &amp; costs ·'!H37)</f>
        <v>43.346499868750016</v>
      </c>
      <c r="I35" s="10">
        <f>SUM('NeatRescue — Revenue &amp; costs ·'!I36,'NeatRescue — Revenue &amp; costs ·'!I37)</f>
        <v>51.31250379531252</v>
      </c>
      <c r="J35" s="10">
        <f>SUM('NeatRescue — Revenue &amp; costs ·'!J36,'NeatRescue — Revenue &amp; costs ·'!J37)</f>
        <v>59.89354041754691</v>
      </c>
      <c r="K35" s="10">
        <f>SUM('NeatRescue — Revenue &amp; costs ·'!K36,'NeatRescue — Revenue &amp; costs ·'!K37)</f>
        <v>69.16019138986958</v>
      </c>
      <c r="L35" s="10">
        <f>SUM('NeatRescue — Revenue &amp; costs ·'!L36,'NeatRescue — Revenue &amp; costs ·'!L37)</f>
        <v>79.18964261289611</v>
      </c>
      <c r="M35" s="10">
        <f>SUM('NeatRescue — Revenue &amp; costs ·'!M36,'NeatRescue — Revenue &amp; costs ·'!M37)</f>
        <v>90.06636735402333</v>
      </c>
    </row>
    <row r="36" outlineLevel="1">
      <c r="A36" t="inlineStr" s="20">
        <is>
          <t xml:space="preserve">Starter</t>
        </is>
      </c>
      <c r="B36" s="11">
        <f>'NeatRescue — Revenue &amp; costs ·'!B18*'NeatRescue — Assumptions &amp; simu'!B9</f>
        <v>1.2</v>
      </c>
      <c r="C36" s="11">
        <f>'NeatRescue — Revenue &amp; costs ·'!C18*'NeatRescue — Assumptions &amp; simu'!B9</f>
        <v>2.4600000000000004</v>
      </c>
      <c r="D36" s="11">
        <f>'NeatRescue — Revenue &amp; costs ·'!D18*'NeatRescue — Assumptions &amp; simu'!B9</f>
        <v>3.789000000000001</v>
      </c>
      <c r="E36" s="11">
        <f>'NeatRescue — Revenue &amp; costs ·'!E18*'NeatRescue — Assumptions &amp; simu'!B9</f>
        <v>5.1967500000000015</v>
      </c>
      <c r="F36" s="11">
        <f>'NeatRescue — Revenue &amp; costs ·'!F18*'NeatRescue — Assumptions &amp; simu'!B9</f>
        <v>6.693832500000002</v>
      </c>
      <c r="G36" s="11">
        <f>'NeatRescue — Revenue &amp; costs ·'!G18*'NeatRescue — Assumptions &amp; simu'!B9</f>
        <v>8.291752875000004</v>
      </c>
      <c r="H36" s="11">
        <f>'NeatRescue — Revenue &amp; costs ·'!H18*'NeatRescue — Assumptions &amp; simu'!B9</f>
        <v>10.003038431250003</v>
      </c>
      <c r="I36" s="11">
        <f>'NeatRescue — Revenue &amp; costs ·'!I18*'NeatRescue — Assumptions &amp; simu'!B9</f>
        <v>11.841347029687507</v>
      </c>
      <c r="J36" s="11">
        <f>'NeatRescue — Revenue &amp; costs ·'!J18*'NeatRescue — Assumptions &amp; simu'!B9</f>
        <v>13.821586250203135</v>
      </c>
      <c r="K36" s="11">
        <f>'NeatRescue — Revenue &amp; costs ·'!K18*'NeatRescue — Assumptions &amp; simu'!B9</f>
        <v>15.96004416689298</v>
      </c>
      <c r="L36" s="11">
        <f>'NeatRescue — Revenue &amp; costs ·'!L18*'NeatRescue — Assumptions &amp; simu'!B9</f>
        <v>18.274532910668334</v>
      </c>
      <c r="M36" s="11">
        <f>'NeatRescue — Revenue &amp; costs ·'!M18*'NeatRescue — Assumptions &amp; simu'!B9</f>
        <v>20.784546312466922</v>
      </c>
    </row>
    <row r="37" outlineLevel="1">
      <c r="A37" t="inlineStr" s="20">
        <is>
          <t xml:space="preserve">Team</t>
        </is>
      </c>
      <c r="B37" s="11">
        <f>'NeatRescue — Revenue &amp; costs ·'!B19*'NeatRescue — Assumptions &amp; simu'!B9</f>
        <v>4</v>
      </c>
      <c r="C37" s="11">
        <f>'NeatRescue — Revenue &amp; costs ·'!C19*'NeatRescue — Assumptions &amp; simu'!B9</f>
        <v>8.200000000000001</v>
      </c>
      <c r="D37" s="11">
        <f>'NeatRescue — Revenue &amp; costs ·'!D19*'NeatRescue — Assumptions &amp; simu'!B9</f>
        <v>12.630000000000003</v>
      </c>
      <c r="E37" s="11">
        <f>'NeatRescue — Revenue &amp; costs ·'!E19*'NeatRescue — Assumptions &amp; simu'!B9</f>
        <v>17.322500000000005</v>
      </c>
      <c r="F37" s="11">
        <f>'NeatRescue — Revenue &amp; costs ·'!F19*'NeatRescue — Assumptions &amp; simu'!B9</f>
        <v>22.312775000000006</v>
      </c>
      <c r="G37" s="11">
        <f>'NeatRescue — Revenue &amp; costs ·'!G19*'NeatRescue — Assumptions &amp; simu'!B9</f>
        <v>27.63917625000001</v>
      </c>
      <c r="H37" s="11">
        <f>'NeatRescue — Revenue &amp; costs ·'!H19*'NeatRescue — Assumptions &amp; simu'!B9</f>
        <v>33.34346143750001</v>
      </c>
      <c r="I37" s="11">
        <f>'NeatRescue — Revenue &amp; costs ·'!I19*'NeatRescue — Assumptions &amp; simu'!B9</f>
        <v>39.47115676562502</v>
      </c>
      <c r="J37" s="11">
        <f>'NeatRescue — Revenue &amp; costs ·'!J19*'NeatRescue — Assumptions &amp; simu'!B9</f>
        <v>46.071954167343776</v>
      </c>
      <c r="K37" s="11">
        <f>'NeatRescue — Revenue &amp; costs ·'!K19*'NeatRescue — Assumptions &amp; simu'!B9</f>
        <v>53.2001472229766</v>
      </c>
      <c r="L37" s="11">
        <f>'NeatRescue — Revenue &amp; costs ·'!L19*'NeatRescue — Assumptions &amp; simu'!B9</f>
        <v>60.91510970222778</v>
      </c>
      <c r="M37" s="11">
        <f>'NeatRescue — Revenue &amp; costs ·'!M19*'NeatRescue — Assumptions &amp; simu'!B9</f>
        <v>69.28182104155641</v>
      </c>
    </row>
    <row r="38">
      <c r="A38" t="inlineStr" s="5">
        <is>
          <t xml:space="preserve">Variable support expense</t>
        </is>
      </c>
      <c r="B38" s="10">
        <f>SUM('NeatRescue — Revenue &amp; costs ·'!B39,'NeatRescue — Revenue &amp; costs ·'!B40)</f>
        <v>16</v>
      </c>
      <c r="C38" s="10">
        <f>SUM('NeatRescue — Revenue &amp; costs ·'!C39,'NeatRescue — Revenue &amp; costs ·'!C40)</f>
        <v>32.800000000000004</v>
      </c>
      <c r="D38" s="10">
        <f>SUM('NeatRescue — Revenue &amp; costs ·'!D39,'NeatRescue — Revenue &amp; costs ·'!D40)</f>
        <v>50.52000000000001</v>
      </c>
      <c r="E38" s="10">
        <f>SUM('NeatRescue — Revenue &amp; costs ·'!E39,'NeatRescue — Revenue &amp; costs ·'!E40)</f>
        <v>69.29000000000002</v>
      </c>
      <c r="F38" s="10">
        <f>SUM('NeatRescue — Revenue &amp; costs ·'!F39,'NeatRescue — Revenue &amp; costs ·'!F40)</f>
        <v>89.25110000000002</v>
      </c>
      <c r="G38" s="10">
        <f>SUM('NeatRescue — Revenue &amp; costs ·'!G39,'NeatRescue — Revenue &amp; costs ·'!G40)</f>
        <v>110.55670500000004</v>
      </c>
      <c r="H38" s="10">
        <f>SUM('NeatRescue — Revenue &amp; costs ·'!H39,'NeatRescue — Revenue &amp; costs ·'!H40)</f>
        <v>133.37384575000004</v>
      </c>
      <c r="I38" s="10">
        <f>SUM('NeatRescue — Revenue &amp; costs ·'!I39,'NeatRescue — Revenue &amp; costs ·'!I40)</f>
        <v>157.88462706250007</v>
      </c>
      <c r="J38" s="10">
        <f>SUM('NeatRescue — Revenue &amp; costs ·'!J39,'NeatRescue — Revenue &amp; costs ·'!J40)</f>
        <v>184.2878166693751</v>
      </c>
      <c r="K38" s="10">
        <f>SUM('NeatRescue — Revenue &amp; costs ·'!K39,'NeatRescue — Revenue &amp; costs ·'!K40)</f>
        <v>212.8005888919064</v>
      </c>
      <c r="L38" s="10">
        <f>SUM('NeatRescue — Revenue &amp; costs ·'!L39,'NeatRescue — Revenue &amp; costs ·'!L40)</f>
        <v>243.66043880891112</v>
      </c>
      <c r="M38" s="10">
        <f>SUM('NeatRescue — Revenue &amp; costs ·'!M39,'NeatRescue — Revenue &amp; costs ·'!M40)</f>
        <v>277.12728416622565</v>
      </c>
    </row>
    <row r="39" outlineLevel="1">
      <c r="A39" t="inlineStr" s="20">
        <is>
          <t xml:space="preserve">Starter</t>
        </is>
      </c>
      <c r="B39" s="11">
        <f>'NeatRescue — Revenue &amp; costs ·'!B15*'NeatRescue — Assumptions &amp; (2)'!F5</f>
        <v>4</v>
      </c>
      <c r="C39" s="11">
        <f>'NeatRescue — Revenue &amp; costs ·'!C15*'NeatRescue — Assumptions &amp; (2)'!F5</f>
        <v>8.200000000000001</v>
      </c>
      <c r="D39" s="11">
        <f>'NeatRescue — Revenue &amp; costs ·'!D15*'NeatRescue — Assumptions &amp; (2)'!F5</f>
        <v>12.630000000000003</v>
      </c>
      <c r="E39" s="11">
        <f>'NeatRescue — Revenue &amp; costs ·'!E15*'NeatRescue — Assumptions &amp; (2)'!F5</f>
        <v>17.322500000000005</v>
      </c>
      <c r="F39" s="11">
        <f>'NeatRescue — Revenue &amp; costs ·'!F15*'NeatRescue — Assumptions &amp; (2)'!F5</f>
        <v>22.312775000000006</v>
      </c>
      <c r="G39" s="11">
        <f>'NeatRescue — Revenue &amp; costs ·'!G15*'NeatRescue — Assumptions &amp; (2)'!F5</f>
        <v>27.63917625000001</v>
      </c>
      <c r="H39" s="11">
        <f>'NeatRescue — Revenue &amp; costs ·'!H15*'NeatRescue — Assumptions &amp; (2)'!F5</f>
        <v>33.34346143750001</v>
      </c>
      <c r="I39" s="11">
        <f>'NeatRescue — Revenue &amp; costs ·'!I15*'NeatRescue — Assumptions &amp; (2)'!F5</f>
        <v>39.47115676562502</v>
      </c>
      <c r="J39" s="11">
        <f>'NeatRescue — Revenue &amp; costs ·'!J15*'NeatRescue — Assumptions &amp; (2)'!F5</f>
        <v>46.071954167343776</v>
      </c>
      <c r="K39" s="11">
        <f>'NeatRescue — Revenue &amp; costs ·'!K15*'NeatRescue — Assumptions &amp; (2)'!F5</f>
        <v>53.2001472229766</v>
      </c>
      <c r="L39" s="11">
        <f>'NeatRescue — Revenue &amp; costs ·'!L15*'NeatRescue — Assumptions &amp; (2)'!F5</f>
        <v>60.91510970222778</v>
      </c>
      <c r="M39" s="11">
        <f>'NeatRescue — Revenue &amp; costs ·'!M15*'NeatRescue — Assumptions &amp; (2)'!F5</f>
        <v>69.28182104155641</v>
      </c>
    </row>
    <row r="40" outlineLevel="1">
      <c r="A40" t="inlineStr" s="20">
        <is>
          <t xml:space="preserve">Team</t>
        </is>
      </c>
      <c r="B40" s="11">
        <f>'NeatRescue — Revenue &amp; costs ·'!B16*'NeatRescue — Assumptions &amp; (2)'!F6</f>
        <v>12</v>
      </c>
      <c r="C40" s="11">
        <f>'NeatRescue — Revenue &amp; costs ·'!C16*'NeatRescue — Assumptions &amp; (2)'!F6</f>
        <v>24.6</v>
      </c>
      <c r="D40" s="11">
        <f>'NeatRescue — Revenue &amp; costs ·'!D16*'NeatRescue — Assumptions &amp; (2)'!F6</f>
        <v>37.89000000000001</v>
      </c>
      <c r="E40" s="11">
        <f>'NeatRescue — Revenue &amp; costs ·'!E16*'NeatRescue — Assumptions &amp; (2)'!F6</f>
        <v>51.967500000000015</v>
      </c>
      <c r="F40" s="11">
        <f>'NeatRescue — Revenue &amp; costs ·'!F16*'NeatRescue — Assumptions &amp; (2)'!F6</f>
        <v>66.93832500000002</v>
      </c>
      <c r="G40" s="11">
        <f>'NeatRescue — Revenue &amp; costs ·'!G16*'NeatRescue — Assumptions &amp; (2)'!F6</f>
        <v>82.91752875000003</v>
      </c>
      <c r="H40" s="11">
        <f>'NeatRescue — Revenue &amp; costs ·'!H16*'NeatRescue — Assumptions &amp; (2)'!F6</f>
        <v>100.03038431250003</v>
      </c>
      <c r="I40" s="11">
        <f>'NeatRescue — Revenue &amp; costs ·'!I16*'NeatRescue — Assumptions &amp; (2)'!F6</f>
        <v>118.41347029687506</v>
      </c>
      <c r="J40" s="11">
        <f>'NeatRescue — Revenue &amp; costs ·'!J16*'NeatRescue — Assumptions &amp; (2)'!F6</f>
        <v>138.2158625020313</v>
      </c>
      <c r="K40" s="11">
        <f>'NeatRescue — Revenue &amp; costs ·'!K16*'NeatRescue — Assumptions &amp; (2)'!F6</f>
        <v>159.6004416689298</v>
      </c>
      <c r="L40" s="11">
        <f>'NeatRescue — Revenue &amp; costs ·'!L16*'NeatRescue — Assumptions &amp; (2)'!F6</f>
        <v>182.74532910668336</v>
      </c>
      <c r="M40" s="11">
        <f>'NeatRescue — Revenue &amp; costs ·'!M16*'NeatRescue — Assumptions &amp; (2)'!F6</f>
        <v>207.84546312466924</v>
      </c>
    </row>
    <row r="41">
      <c r="A41" t="inlineStr" s="5">
        <is>
          <t xml:space="preserve">Payment processing expense</t>
        </is>
      </c>
      <c r="B41" s="10">
        <f>SUM('NeatRescue — Revenue &amp; costs ·'!B42,'NeatRescue — Revenue &amp; costs ·'!B43)</f>
        <v>9.629999999999999</v>
      </c>
      <c r="C41" s="10">
        <f>SUM('NeatRescue — Revenue &amp; costs ·'!C42,'NeatRescue — Revenue &amp; costs ·'!C43)</f>
        <v>19.741500000000002</v>
      </c>
      <c r="D41" s="10">
        <f>SUM('NeatRescue — Revenue &amp; costs ·'!D42,'NeatRescue — Revenue &amp; costs ·'!D43)</f>
        <v>30.406725</v>
      </c>
      <c r="E41" s="10">
        <f>SUM('NeatRescue — Revenue &amp; costs ·'!E42,'NeatRescue — Revenue &amp; costs ·'!E43)</f>
        <v>41.703918750000014</v>
      </c>
      <c r="F41" s="10">
        <f>SUM('NeatRescue — Revenue &amp; costs ·'!F42,'NeatRescue — Revenue &amp; costs ·'!F43)</f>
        <v>53.71800581250001</v>
      </c>
      <c r="G41" s="10">
        <f>SUM('NeatRescue — Revenue &amp; costs ·'!G42,'NeatRescue — Revenue &amp; costs ·'!G43)</f>
        <v>66.54131682187501</v>
      </c>
      <c r="H41" s="10">
        <f>SUM('NeatRescue — Revenue &amp; costs ·'!H42,'NeatRescue — Revenue &amp; costs ·'!H43)</f>
        <v>80.27438341078127</v>
      </c>
      <c r="I41" s="10">
        <f>SUM('NeatRescue — Revenue &amp; costs ·'!I42,'NeatRescue — Revenue &amp; costs ·'!I43)</f>
        <v>95.02680991324223</v>
      </c>
      <c r="J41" s="10">
        <f>SUM('NeatRescue — Revenue &amp; costs ·'!J42,'NeatRescue — Revenue &amp; costs ·'!J43)</f>
        <v>110.91822965788012</v>
      </c>
      <c r="K41" s="10">
        <f>SUM('NeatRescue — Revenue &amp; costs ·'!K42,'NeatRescue — Revenue &amp; costs ·'!K43)</f>
        <v>128.07935443931615</v>
      </c>
      <c r="L41" s="10">
        <f>SUM('NeatRescue — Revenue &amp; costs ·'!L42,'NeatRescue — Revenue &amp; costs ·'!L43)</f>
        <v>146.65312660811338</v>
      </c>
      <c r="M41" s="10">
        <f>SUM('NeatRescue — Revenue &amp; costs ·'!M42,'NeatRescue — Revenue &amp; costs ·'!M43)</f>
        <v>166.79598415754705</v>
      </c>
    </row>
    <row r="42" outlineLevel="1">
      <c r="A42" t="inlineStr" s="20">
        <is>
          <t xml:space="preserve">Starter</t>
        </is>
      </c>
      <c r="B42" s="11">
        <f>'NeatRescue — Revenue &amp; costs ·'!B27*'NeatRescue — Assumptions &amp; simu'!B18</f>
        <v>3.06</v>
      </c>
      <c r="C42" s="11">
        <f>'NeatRescue — Revenue &amp; costs ·'!C27*'NeatRescue — Assumptions &amp; simu'!B18</f>
        <v>6.273000000000001</v>
      </c>
      <c r="D42" s="11">
        <f>'NeatRescue — Revenue &amp; costs ·'!D27*'NeatRescue — Assumptions &amp; simu'!B18</f>
        <v>9.661950000000001</v>
      </c>
      <c r="E42" s="11">
        <f>'NeatRescue — Revenue &amp; costs ·'!E27*'NeatRescue — Assumptions &amp; simu'!B18</f>
        <v>13.251712500000004</v>
      </c>
      <c r="F42" s="11">
        <f>'NeatRescue — Revenue &amp; costs ·'!F27*'NeatRescue — Assumptions &amp; simu'!B18</f>
        <v>17.069272875000003</v>
      </c>
      <c r="G42" s="11">
        <f>'NeatRescue — Revenue &amp; costs ·'!G27*'NeatRescue — Assumptions &amp; simu'!B18</f>
        <v>21.143969831250008</v>
      </c>
      <c r="H42" s="11">
        <f>'NeatRescue — Revenue &amp; costs ·'!H27*'NeatRescue — Assumptions &amp; simu'!B18</f>
        <v>25.507747999687506</v>
      </c>
      <c r="I42" s="11">
        <f>'NeatRescue — Revenue &amp; costs ·'!I27*'NeatRescue — Assumptions &amp; simu'!B18</f>
        <v>30.19543492570314</v>
      </c>
      <c r="J42" s="11">
        <f>'NeatRescue — Revenue &amp; costs ·'!J27*'NeatRescue — Assumptions &amp; simu'!B18</f>
        <v>35.24504493801799</v>
      </c>
      <c r="K42" s="11">
        <f>'NeatRescue — Revenue &amp; costs ·'!K27*'NeatRescue — Assumptions &amp; simu'!B18</f>
        <v>40.698112625577096</v>
      </c>
      <c r="L42" s="11">
        <f>'NeatRescue — Revenue &amp; costs ·'!L27*'NeatRescue — Assumptions &amp; simu'!B18</f>
        <v>46.60005892220425</v>
      </c>
      <c r="M42" s="11">
        <f>'NeatRescue — Revenue &amp; costs ·'!M27*'NeatRescue — Assumptions &amp; simu'!B18</f>
        <v>53.00059309679065</v>
      </c>
    </row>
    <row r="43" outlineLevel="1">
      <c r="A43" t="inlineStr" s="20">
        <is>
          <t xml:space="preserve">Team</t>
        </is>
      </c>
      <c r="B43" s="11">
        <f>'NeatRescue — Revenue &amp; costs ·'!B28*'NeatRescue — Assumptions &amp; simu'!B18</f>
        <v>6.569999999999999</v>
      </c>
      <c r="C43" s="11">
        <f>'NeatRescue — Revenue &amp; costs ·'!C28*'NeatRescue — Assumptions &amp; simu'!B18</f>
        <v>13.4685</v>
      </c>
      <c r="D43" s="11">
        <f>'NeatRescue — Revenue &amp; costs ·'!D28*'NeatRescue — Assumptions &amp; simu'!B18</f>
        <v>20.744775</v>
      </c>
      <c r="E43" s="11">
        <f>'NeatRescue — Revenue &amp; costs ·'!E28*'NeatRescue — Assumptions &amp; simu'!B18</f>
        <v>28.45220625000001</v>
      </c>
      <c r="F43" s="11">
        <f>'NeatRescue — Revenue &amp; costs ·'!F28*'NeatRescue — Assumptions &amp; simu'!B18</f>
        <v>36.64873293750001</v>
      </c>
      <c r="G43" s="11">
        <f>'NeatRescue — Revenue &amp; costs ·'!G28*'NeatRescue — Assumptions &amp; simu'!B18</f>
        <v>45.39734699062501</v>
      </c>
      <c r="H43" s="11">
        <f>'NeatRescue — Revenue &amp; costs ·'!H28*'NeatRescue — Assumptions &amp; simu'!B18</f>
        <v>54.76663541109376</v>
      </c>
      <c r="I43" s="11">
        <f>'NeatRescue — Revenue &amp; costs ·'!I28*'NeatRescue — Assumptions &amp; simu'!B18</f>
        <v>64.83137498753909</v>
      </c>
      <c r="J43" s="11">
        <f>'NeatRescue — Revenue &amp; costs ·'!J28*'NeatRescue — Assumptions &amp; simu'!B18</f>
        <v>75.67318471986214</v>
      </c>
      <c r="K43" s="11">
        <f>'NeatRescue — Revenue &amp; costs ·'!K28*'NeatRescue — Assumptions &amp; simu'!B18</f>
        <v>87.38124181373904</v>
      </c>
      <c r="L43" s="11">
        <f>'NeatRescue — Revenue &amp; costs ·'!L28*'NeatRescue — Assumptions &amp; simu'!B18</f>
        <v>100.05306768590913</v>
      </c>
      <c r="M43" s="11">
        <f>'NeatRescue — Revenue &amp; costs ·'!M28*'NeatRescue — Assumptions &amp; simu'!B18</f>
        <v>113.7953910607564</v>
      </c>
    </row>
    <row r="44">
      <c r="A44" t="inlineStr" s="5">
        <is>
          <t xml:space="preserve">Variable cost of revenue</t>
        </is>
      </c>
      <c r="B44" s="10">
        <f>SUM('NeatRescue — Revenue &amp; costs ·'!B45,'NeatRescue — Revenue &amp; costs ·'!B46)</f>
        <v>98.42999999999999</v>
      </c>
      <c r="C44" s="10">
        <f>SUM('NeatRescue — Revenue &amp; costs ·'!C45,'NeatRescue — Revenue &amp; costs ·'!C46)</f>
        <v>201.78150000000005</v>
      </c>
      <c r="D44" s="10">
        <f>SUM('NeatRescue — Revenue &amp; costs ·'!D45,'NeatRescue — Revenue &amp; costs ·'!D46)</f>
        <v>310.7927250000001</v>
      </c>
      <c r="E44" s="10">
        <f>SUM('NeatRescue — Revenue &amp; costs ·'!E45,'NeatRescue — Revenue &amp; costs ·'!E46)</f>
        <v>426.26341875000014</v>
      </c>
      <c r="F44" s="10">
        <f>SUM('NeatRescue — Revenue &amp; costs ·'!F45,'NeatRescue — Revenue &amp; costs ·'!F46)</f>
        <v>549.0616108125001</v>
      </c>
      <c r="G44" s="10">
        <f>SUM('NeatRescue — Revenue &amp; costs ·'!G45,'NeatRescue — Revenue &amp; costs ·'!G46)</f>
        <v>680.1310295718752</v>
      </c>
      <c r="H44" s="10">
        <f>SUM('NeatRescue — Revenue &amp; costs ·'!H45,'NeatRescue — Revenue &amp; costs ·'!H46)</f>
        <v>820.4992273232815</v>
      </c>
      <c r="I44" s="10">
        <f>SUM('NeatRescue — Revenue &amp; costs ·'!I45,'NeatRescue — Revenue &amp; costs ·'!I46)</f>
        <v>971.2864901101176</v>
      </c>
      <c r="J44" s="10">
        <f>SUM('NeatRescue — Revenue &amp; costs ·'!J45,'NeatRescue — Revenue &amp; costs ·'!J46)</f>
        <v>1133.715612172912</v>
      </c>
      <c r="K44" s="10">
        <f>SUM('NeatRescue — Revenue &amp; costs ·'!K45,'NeatRescue — Revenue &amp; costs ·'!K46)</f>
        <v>1309.1226227893965</v>
      </c>
      <c r="L44" s="10">
        <f>SUM('NeatRescue — Revenue &amp; costs ·'!L45,'NeatRescue — Revenue &amp; costs ·'!L46)</f>
        <v>1498.9685619975703</v>
      </c>
      <c r="M44" s="10">
        <f>SUM('NeatRescue — Revenue &amp; costs ·'!M45,'NeatRescue — Revenue &amp; costs ·'!M46)</f>
        <v>1704.8524112800994</v>
      </c>
    </row>
    <row r="45" outlineLevel="1">
      <c r="A45" t="inlineStr" s="20">
        <is>
          <t xml:space="preserve">Starter</t>
        </is>
      </c>
      <c r="B45" s="11">
        <f>'NeatRescue — Revenue &amp; costs ·'!B30+'NeatRescue — Revenue &amp; costs ·'!B33+'NeatRescue — Revenue &amp; costs ·'!B36+'NeatRescue — Revenue &amp; costs ·'!B39+'NeatRescue — Revenue &amp; costs ·'!B42</f>
        <v>23.86</v>
      </c>
      <c r="C45" s="11">
        <f>'NeatRescue — Revenue &amp; costs ·'!C30+'NeatRescue — Revenue &amp; costs ·'!C33+'NeatRescue — Revenue &amp; costs ·'!C36+'NeatRescue — Revenue &amp; costs ·'!C39+'NeatRescue — Revenue &amp; costs ·'!C42</f>
        <v>48.91300000000001</v>
      </c>
      <c r="D45" s="11">
        <f>'NeatRescue — Revenue &amp; costs ·'!D30+'NeatRescue — Revenue &amp; costs ·'!D33+'NeatRescue — Revenue &amp; costs ·'!D36+'NeatRescue — Revenue &amp; costs ·'!D39+'NeatRescue — Revenue &amp; costs ·'!D42</f>
        <v>75.33795000000002</v>
      </c>
      <c r="E45" s="11">
        <f>'NeatRescue — Revenue &amp; costs ·'!E30+'NeatRescue — Revenue &amp; costs ·'!E33+'NeatRescue — Revenue &amp; costs ·'!E36+'NeatRescue — Revenue &amp; costs ·'!E39+'NeatRescue — Revenue &amp; costs ·'!E42</f>
        <v>103.32871250000004</v>
      </c>
      <c r="F45" s="11">
        <f>'NeatRescue — Revenue &amp; costs ·'!F30+'NeatRescue — Revenue &amp; costs ·'!F33+'NeatRescue — Revenue &amp; costs ·'!F36+'NeatRescue — Revenue &amp; costs ·'!F39+'NeatRescue — Revenue &amp; costs ·'!F42</f>
        <v>133.09570287500003</v>
      </c>
      <c r="G45" s="11">
        <f>'NeatRescue — Revenue &amp; costs ·'!G30+'NeatRescue — Revenue &amp; costs ·'!G33+'NeatRescue — Revenue &amp; costs ·'!G36+'NeatRescue — Revenue &amp; costs ·'!G39+'NeatRescue — Revenue &amp; costs ·'!G42</f>
        <v>164.86768633125007</v>
      </c>
      <c r="H45" s="11">
        <f>'NeatRescue — Revenue &amp; costs ·'!H30+'NeatRescue — Revenue &amp; costs ·'!H33+'NeatRescue — Revenue &amp; costs ·'!H36+'NeatRescue — Revenue &amp; costs ·'!H39+'NeatRescue — Revenue &amp; costs ·'!H42</f>
        <v>198.8937474746876</v>
      </c>
      <c r="I45" s="11">
        <f>'NeatRescue — Revenue &amp; costs ·'!I30+'NeatRescue — Revenue &amp; costs ·'!I33+'NeatRescue — Revenue &amp; costs ·'!I36+'NeatRescue — Revenue &amp; costs ·'!I39+'NeatRescue — Revenue &amp; costs ·'!I42</f>
        <v>235.44545010695322</v>
      </c>
      <c r="J45" s="11">
        <f>'NeatRescue — Revenue &amp; costs ·'!J30+'NeatRescue — Revenue &amp; costs ·'!J33+'NeatRescue — Revenue &amp; costs ·'!J36+'NeatRescue — Revenue &amp; costs ·'!J39+'NeatRescue — Revenue &amp; costs ·'!J42</f>
        <v>274.81920660820566</v>
      </c>
      <c r="K45" s="11">
        <f>'NeatRescue — Revenue &amp; costs ·'!K30+'NeatRescue — Revenue &amp; costs ·'!K33+'NeatRescue — Revenue &amp; costs ·'!K36+'NeatRescue — Revenue &amp; costs ·'!K39+'NeatRescue — Revenue &amp; costs ·'!K42</f>
        <v>317.3388781850554</v>
      </c>
      <c r="L45" s="11">
        <f>'NeatRescue — Revenue &amp; costs ·'!L30+'NeatRescue — Revenue &amp; costs ·'!L33+'NeatRescue — Revenue &amp; costs ·'!L36+'NeatRescue — Revenue &amp; costs ·'!L39+'NeatRescue — Revenue &amp; costs ·'!L42</f>
        <v>363.35862937378874</v>
      </c>
      <c r="M45" s="11">
        <f>'NeatRescue — Revenue &amp; costs ·'!M30+'NeatRescue — Revenue &amp; costs ·'!M33+'NeatRescue — Revenue &amp; costs ·'!M36+'NeatRescue — Revenue &amp; costs ·'!M39+'NeatRescue — Revenue &amp; costs ·'!M42</f>
        <v>413.266062512884</v>
      </c>
    </row>
    <row r="46" outlineLevel="1">
      <c r="A46" t="inlineStr" s="20">
        <is>
          <t xml:space="preserve">Team</t>
        </is>
      </c>
      <c r="B46" s="11">
        <f>'NeatRescue — Revenue &amp; costs ·'!B31+'NeatRescue — Revenue &amp; costs ·'!B34+'NeatRescue — Revenue &amp; costs ·'!B37+'NeatRescue — Revenue &amp; costs ·'!B40+'NeatRescue — Revenue &amp; costs ·'!B43</f>
        <v>74.57</v>
      </c>
      <c r="C46" s="11">
        <f>'NeatRescue — Revenue &amp; costs ·'!C31+'NeatRescue — Revenue &amp; costs ·'!C34+'NeatRescue — Revenue &amp; costs ·'!C37+'NeatRescue — Revenue &amp; costs ·'!C40+'NeatRescue — Revenue &amp; costs ·'!C43</f>
        <v>152.86850000000004</v>
      </c>
      <c r="D46" s="11">
        <f>'NeatRescue — Revenue &amp; costs ·'!D31+'NeatRescue — Revenue &amp; costs ·'!D34+'NeatRescue — Revenue &amp; costs ·'!D37+'NeatRescue — Revenue &amp; costs ·'!D40+'NeatRescue — Revenue &amp; costs ·'!D43</f>
        <v>235.45477500000004</v>
      </c>
      <c r="E46" s="11">
        <f>'NeatRescue — Revenue &amp; costs ·'!E31+'NeatRescue — Revenue &amp; costs ·'!E34+'NeatRescue — Revenue &amp; costs ·'!E37+'NeatRescue — Revenue &amp; costs ·'!E40+'NeatRescue — Revenue &amp; costs ·'!E43</f>
        <v>322.9347062500001</v>
      </c>
      <c r="F46" s="11">
        <f>'NeatRescue — Revenue &amp; costs ·'!F31+'NeatRescue — Revenue &amp; costs ·'!F34+'NeatRescue — Revenue &amp; costs ·'!F37+'NeatRescue — Revenue &amp; costs ·'!F40+'NeatRescue — Revenue &amp; costs ·'!F43</f>
        <v>415.9659079375001</v>
      </c>
      <c r="G46" s="11">
        <f>'NeatRescue — Revenue &amp; costs ·'!G31+'NeatRescue — Revenue &amp; costs ·'!G34+'NeatRescue — Revenue &amp; costs ·'!G37+'NeatRescue — Revenue &amp; costs ·'!G40+'NeatRescue — Revenue &amp; costs ·'!G43</f>
        <v>515.2633432406251</v>
      </c>
      <c r="H46" s="11">
        <f>'NeatRescue — Revenue &amp; costs ·'!H31+'NeatRescue — Revenue &amp; costs ·'!H34+'NeatRescue — Revenue &amp; costs ·'!H37+'NeatRescue — Revenue &amp; costs ·'!H40+'NeatRescue — Revenue &amp; costs ·'!H43</f>
        <v>621.605479848594</v>
      </c>
      <c r="I46" s="11">
        <f>'NeatRescue — Revenue &amp; costs ·'!I31+'NeatRescue — Revenue &amp; costs ·'!I34+'NeatRescue — Revenue &amp; costs ·'!I37+'NeatRescue — Revenue &amp; costs ·'!I40+'NeatRescue — Revenue &amp; costs ·'!I43</f>
        <v>735.8410400031644</v>
      </c>
      <c r="J46" s="11">
        <f>'NeatRescue — Revenue &amp; costs ·'!J31+'NeatRescue — Revenue &amp; costs ·'!J34+'NeatRescue — Revenue &amp; costs ·'!J37+'NeatRescue — Revenue &amp; costs ·'!J40+'NeatRescue — Revenue &amp; costs ·'!J43</f>
        <v>858.8964055647064</v>
      </c>
      <c r="K46" s="11">
        <f>'NeatRescue — Revenue &amp; costs ·'!K31+'NeatRescue — Revenue &amp; costs ·'!K34+'NeatRescue — Revenue &amp; costs ·'!K37+'NeatRescue — Revenue &amp; costs ·'!K40+'NeatRescue — Revenue &amp; costs ·'!K43</f>
        <v>991.7837446043411</v>
      </c>
      <c r="L46" s="11">
        <f>'NeatRescue — Revenue &amp; costs ·'!L31+'NeatRescue — Revenue &amp; costs ·'!L34+'NeatRescue — Revenue &amp; costs ·'!L37+'NeatRescue — Revenue &amp; costs ·'!L40+'NeatRescue — Revenue &amp; costs ·'!L43</f>
        <v>1135.6099326237816</v>
      </c>
      <c r="M46" s="11">
        <f>'NeatRescue — Revenue &amp; costs ·'!M31+'NeatRescue — Revenue &amp; costs ·'!M34+'NeatRescue — Revenue &amp; costs ·'!M37+'NeatRescue — Revenue &amp; costs ·'!M40+'NeatRescue — Revenue &amp; costs ·'!M43</f>
        <v>1291.5863487672154</v>
      </c>
    </row>
    <row r="47">
      <c r="A47" t="inlineStr" s="5">
        <is>
          <t xml:space="preserve">Contribution margin</t>
        </is>
      </c>
      <c r="B47" s="16">
        <f>'NeatRescue — Revenue &amp; costs ·'!B26-'NeatRescue — Revenue &amp; costs ·'!B44</f>
        <v>222.57</v>
      </c>
      <c r="C47" s="16">
        <f>'NeatRescue — Revenue &amp; costs ·'!C26-'NeatRescue — Revenue &amp; costs ·'!C44</f>
        <v>456.2685</v>
      </c>
      <c r="D47" s="16">
        <f>'NeatRescue — Revenue &amp; costs ·'!D26-'NeatRescue — Revenue &amp; costs ·'!D44</f>
        <v>702.7647750000001</v>
      </c>
      <c r="E47" s="16">
        <f>'NeatRescue — Revenue &amp; costs ·'!E26-'NeatRescue — Revenue &amp; costs ·'!E44</f>
        <v>963.8672062500003</v>
      </c>
      <c r="F47" s="16">
        <f>'NeatRescue — Revenue &amp; costs ·'!F26-'NeatRescue — Revenue &amp; costs ·'!F44</f>
        <v>1241.5385829375005</v>
      </c>
      <c r="G47" s="16">
        <f>'NeatRescue — Revenue &amp; costs ·'!G26-'NeatRescue — Revenue &amp; costs ·'!G44</f>
        <v>1537.9128644906257</v>
      </c>
      <c r="H47" s="16">
        <f>'NeatRescue — Revenue &amp; costs ·'!H26-'NeatRescue — Revenue &amp; costs ·'!H44</f>
        <v>1855.3135530360942</v>
      </c>
      <c r="I47" s="16">
        <f>'NeatRescue — Revenue &amp; costs ·'!I26-'NeatRescue — Revenue &amp; costs ·'!I44</f>
        <v>2196.27384033129</v>
      </c>
      <c r="J47" s="16">
        <f>'NeatRescue — Revenue &amp; costs ·'!J26-'NeatRescue — Revenue &amp; costs ·'!J44</f>
        <v>2563.5587097564257</v>
      </c>
      <c r="K47" s="16">
        <f>'NeatRescue — Revenue &amp; costs ·'!K26-'NeatRescue — Revenue &amp; costs ·'!K44</f>
        <v>2960.189191854475</v>
      </c>
      <c r="L47" s="16">
        <f>'NeatRescue — Revenue &amp; costs ·'!L26-'NeatRescue — Revenue &amp; costs ·'!L44</f>
        <v>3389.4689916062093</v>
      </c>
      <c r="M47" s="16">
        <f>'NeatRescue — Revenue &amp; costs ·'!M26-'NeatRescue — Revenue &amp; costs ·'!M44</f>
        <v>3855.013727304802</v>
      </c>
    </row>
    <row r="48" outlineLevel="1">
      <c r="A48" t="inlineStr" s="20">
        <is>
          <t xml:space="preserve">Starter</t>
        </is>
      </c>
      <c r="B48" s="8">
        <f>'NeatRescue — Revenue &amp; costs ·'!B27-'NeatRescue — Revenue &amp; costs ·'!B45</f>
        <v>78.14</v>
      </c>
      <c r="C48" s="8">
        <f>'NeatRescue — Revenue &amp; costs ·'!C27-'NeatRescue — Revenue &amp; costs ·'!C45</f>
        <v>160.187</v>
      </c>
      <c r="D48" s="8">
        <f>'NeatRescue — Revenue &amp; costs ·'!D27-'NeatRescue — Revenue &amp; costs ·'!D45</f>
        <v>246.72705000000002</v>
      </c>
      <c r="E48" s="8">
        <f>'NeatRescue — Revenue &amp; costs ·'!E27-'NeatRescue — Revenue &amp; costs ·'!E45</f>
        <v>338.39503750000006</v>
      </c>
      <c r="F48" s="8">
        <f>'NeatRescue — Revenue &amp; costs ·'!F27-'NeatRescue — Revenue &amp; costs ·'!F45</f>
        <v>435.88005962500006</v>
      </c>
      <c r="G48" s="8">
        <f>'NeatRescue — Revenue &amp; costs ·'!G27-'NeatRescue — Revenue &amp; costs ·'!G45</f>
        <v>539.9313080437502</v>
      </c>
      <c r="H48" s="8">
        <f>'NeatRescue — Revenue &amp; costs ·'!H27-'NeatRescue — Revenue &amp; costs ·'!H45</f>
        <v>651.3645191815626</v>
      </c>
      <c r="I48" s="8">
        <f>'NeatRescue — Revenue &amp; costs ·'!I27-'NeatRescue — Revenue &amp; costs ·'!I45</f>
        <v>771.0690474164848</v>
      </c>
      <c r="J48" s="8">
        <f>'NeatRescue — Revenue &amp; costs ·'!J27-'NeatRescue — Revenue &amp; costs ·'!J45</f>
        <v>900.0156246590607</v>
      </c>
      <c r="K48" s="8">
        <f>'NeatRescue — Revenue &amp; costs ·'!K27-'NeatRescue — Revenue &amp; costs ·'!K45</f>
        <v>1039.2648760008478</v>
      </c>
      <c r="L48" s="8">
        <f>'NeatRescue — Revenue &amp; costs ·'!L27-'NeatRescue — Revenue &amp; costs ·'!L45</f>
        <v>1189.9766680330197</v>
      </c>
      <c r="M48" s="8">
        <f>'NeatRescue — Revenue &amp; costs ·'!M27-'NeatRescue — Revenue &amp; costs ·'!M45</f>
        <v>1353.4203740468045</v>
      </c>
    </row>
    <row r="49" outlineLevel="1">
      <c r="A49" t="inlineStr" s="20">
        <is>
          <t xml:space="preserve">Team</t>
        </is>
      </c>
      <c r="B49" s="8">
        <f>'NeatRescue — Revenue &amp; costs ·'!B28-'NeatRescue — Revenue &amp; costs ·'!B46</f>
        <v>144.43</v>
      </c>
      <c r="C49" s="8">
        <f>'NeatRescue — Revenue &amp; costs ·'!C28-'NeatRescue — Revenue &amp; costs ·'!C46</f>
        <v>296.0815</v>
      </c>
      <c r="D49" s="8">
        <f>'NeatRescue — Revenue &amp; costs ·'!D28-'NeatRescue — Revenue &amp; costs ·'!D46</f>
        <v>456.037725</v>
      </c>
      <c r="E49" s="8">
        <f>'NeatRescue — Revenue &amp; costs ·'!E28-'NeatRescue — Revenue &amp; costs ·'!E46</f>
        <v>625.4721687500003</v>
      </c>
      <c r="F49" s="8">
        <f>'NeatRescue — Revenue &amp; costs ·'!F28-'NeatRescue — Revenue &amp; costs ·'!F46</f>
        <v>805.6585233125002</v>
      </c>
      <c r="G49" s="8">
        <f>'NeatRescue — Revenue &amp; costs ·'!G28-'NeatRescue — Revenue &amp; costs ·'!G46</f>
        <v>997.9815564468754</v>
      </c>
      <c r="H49" s="8">
        <f>'NeatRescue — Revenue &amp; costs ·'!H28-'NeatRescue — Revenue &amp; costs ·'!H46</f>
        <v>1203.9490338545315</v>
      </c>
      <c r="I49" s="8">
        <f>'NeatRescue — Revenue &amp; costs ·'!I28-'NeatRescue — Revenue &amp; costs ·'!I46</f>
        <v>1425.2047929148052</v>
      </c>
      <c r="J49" s="8">
        <f>'NeatRescue — Revenue &amp; costs ·'!J28-'NeatRescue — Revenue &amp; costs ·'!J46</f>
        <v>1663.543085097365</v>
      </c>
      <c r="K49" s="8">
        <f>'NeatRescue — Revenue &amp; costs ·'!K28-'NeatRescue — Revenue &amp; costs ·'!K46</f>
        <v>1920.9243158536271</v>
      </c>
      <c r="L49" s="8">
        <f>'NeatRescue — Revenue &amp; costs ·'!L28-'NeatRescue — Revenue &amp; costs ·'!L46</f>
        <v>2199.4923235731894</v>
      </c>
      <c r="M49" s="8">
        <f>'NeatRescue — Revenue &amp; costs ·'!M28-'NeatRescue — Revenue &amp; costs ·'!M46</f>
        <v>2501.593353257998</v>
      </c>
    </row>
    <row r="50">
      <c r="A50" t="inlineStr" s="5">
        <is>
          <t xml:space="preserve">Contribution margin percentage</t>
        </is>
      </c>
      <c r="B50" s="18">
        <f>IFERROR('NeatRescue — Revenue &amp; costs ·'!B47/'NeatRescue — Revenue &amp; costs ·'!B26,"")</f>
        <v>0.6933644859813084</v>
      </c>
      <c r="C50" s="18">
        <f>IFERROR('NeatRescue — Revenue &amp; costs ·'!C47/'NeatRescue — Revenue &amp; costs ·'!C26,"")</f>
        <v>0.6933644859813084</v>
      </c>
      <c r="D50" s="18">
        <f>IFERROR('NeatRescue — Revenue &amp; costs ·'!D47/'NeatRescue — Revenue &amp; costs ·'!D26,"")</f>
        <v>0.6933644859813084</v>
      </c>
      <c r="E50" s="18">
        <f>IFERROR('NeatRescue — Revenue &amp; costs ·'!E47/'NeatRescue — Revenue &amp; costs ·'!E26,"")</f>
        <v>0.6933644859813084</v>
      </c>
      <c r="F50" s="18">
        <f>IFERROR('NeatRescue — Revenue &amp; costs ·'!F47/'NeatRescue — Revenue &amp; costs ·'!F26,"")</f>
        <v>0.6933644859813085</v>
      </c>
      <c r="G50" s="18">
        <f>IFERROR('NeatRescue — Revenue &amp; costs ·'!G47/'NeatRescue — Revenue &amp; costs ·'!G26,"")</f>
        <v>0.6933644859813085</v>
      </c>
      <c r="H50" s="18">
        <f>IFERROR('NeatRescue — Revenue &amp; costs ·'!H47/'NeatRescue — Revenue &amp; costs ·'!H26,"")</f>
        <v>0.6933644859813084</v>
      </c>
      <c r="I50" s="18">
        <f>IFERROR('NeatRescue — Revenue &amp; costs ·'!I47/'NeatRescue — Revenue &amp; costs ·'!I26,"")</f>
        <v>0.6933644859813084</v>
      </c>
      <c r="J50" s="18">
        <f>IFERROR('NeatRescue — Revenue &amp; costs ·'!J47/'NeatRescue — Revenue &amp; costs ·'!J26,"")</f>
        <v>0.6933644859813084</v>
      </c>
      <c r="K50" s="18">
        <f>IFERROR('NeatRescue — Revenue &amp; costs ·'!K47/'NeatRescue — Revenue &amp; costs ·'!K26,"")</f>
        <v>0.6933644859813084</v>
      </c>
      <c r="L50" s="18">
        <f>IFERROR('NeatRescue — Revenue &amp; costs ·'!L47/'NeatRescue — Revenue &amp; costs ·'!L26,"")</f>
        <v>0.6933644859813084</v>
      </c>
      <c r="M50" s="18">
        <f>IFERROR('NeatRescue — Revenue &amp; costs ·'!M47/'NeatRescue — Revenue &amp; costs ·'!M26,"")</f>
        <v>0.6933644859813084</v>
      </c>
    </row>
    <row r="51" outlineLevel="1">
      <c r="A51" t="inlineStr" s="20">
        <is>
          <t xml:space="preserve">Starter</t>
        </is>
      </c>
      <c r="B51" s="21">
        <f>IFERROR('NeatRescue — Revenue &amp; costs ·'!B48/'NeatRescue — Revenue &amp; costs ·'!B27,"")</f>
        <v>0.766078431372549</v>
      </c>
      <c r="C51" s="21">
        <f>IFERROR('NeatRescue — Revenue &amp; costs ·'!C48/'NeatRescue — Revenue &amp; costs ·'!C27,"")</f>
        <v>0.7660784313725489</v>
      </c>
      <c r="D51" s="21">
        <f>IFERROR('NeatRescue — Revenue &amp; costs ·'!D48/'NeatRescue — Revenue &amp; costs ·'!D27,"")</f>
        <v>0.7660784313725489</v>
      </c>
      <c r="E51" s="21">
        <f>IFERROR('NeatRescue — Revenue &amp; costs ·'!E48/'NeatRescue — Revenue &amp; costs ·'!E27,"")</f>
        <v>0.7660784313725489</v>
      </c>
      <c r="F51" s="21">
        <f>IFERROR('NeatRescue — Revenue &amp; costs ·'!F48/'NeatRescue — Revenue &amp; costs ·'!F27,"")</f>
        <v>0.766078431372549</v>
      </c>
      <c r="G51" s="21">
        <f>IFERROR('NeatRescue — Revenue &amp; costs ·'!G48/'NeatRescue — Revenue &amp; costs ·'!G27,"")</f>
        <v>0.766078431372549</v>
      </c>
      <c r="H51" s="21">
        <f>IFERROR('NeatRescue — Revenue &amp; costs ·'!H48/'NeatRescue — Revenue &amp; costs ·'!H27,"")</f>
        <v>0.7660784313725489</v>
      </c>
      <c r="I51" s="21">
        <f>IFERROR('NeatRescue — Revenue &amp; costs ·'!I48/'NeatRescue — Revenue &amp; costs ·'!I27,"")</f>
        <v>0.766078431372549</v>
      </c>
      <c r="J51" s="21">
        <f>IFERROR('NeatRescue — Revenue &amp; costs ·'!J48/'NeatRescue — Revenue &amp; costs ·'!J27,"")</f>
        <v>0.766078431372549</v>
      </c>
      <c r="K51" s="21">
        <f>IFERROR('NeatRescue — Revenue &amp; costs ·'!K48/'NeatRescue — Revenue &amp; costs ·'!K27,"")</f>
        <v>0.766078431372549</v>
      </c>
      <c r="L51" s="21">
        <f>IFERROR('NeatRescue — Revenue &amp; costs ·'!L48/'NeatRescue — Revenue &amp; costs ·'!L27,"")</f>
        <v>0.766078431372549</v>
      </c>
      <c r="M51" s="21">
        <f>IFERROR('NeatRescue — Revenue &amp; costs ·'!M48/'NeatRescue — Revenue &amp; costs ·'!M27,"")</f>
        <v>0.766078431372549</v>
      </c>
    </row>
    <row r="52" outlineLevel="1">
      <c r="A52" t="inlineStr" s="20">
        <is>
          <t xml:space="preserve">Team</t>
        </is>
      </c>
      <c r="B52" s="21">
        <f>IFERROR('NeatRescue — Revenue &amp; costs ·'!B49/'NeatRescue — Revenue &amp; costs ·'!B28,"")</f>
        <v>0.6594977168949772</v>
      </c>
      <c r="C52" s="21">
        <f>IFERROR('NeatRescue — Revenue &amp; costs ·'!C49/'NeatRescue — Revenue &amp; costs ·'!C28,"")</f>
        <v>0.6594977168949772</v>
      </c>
      <c r="D52" s="21">
        <f>IFERROR('NeatRescue — Revenue &amp; costs ·'!D49/'NeatRescue — Revenue &amp; costs ·'!D28,"")</f>
        <v>0.6594977168949772</v>
      </c>
      <c r="E52" s="21">
        <f>IFERROR('NeatRescue — Revenue &amp; costs ·'!E49/'NeatRescue — Revenue &amp; costs ·'!E28,"")</f>
        <v>0.6594977168949772</v>
      </c>
      <c r="F52" s="21">
        <f>IFERROR('NeatRescue — Revenue &amp; costs ·'!F49/'NeatRescue — Revenue &amp; costs ·'!F28,"")</f>
        <v>0.6594977168949772</v>
      </c>
      <c r="G52" s="21">
        <f>IFERROR('NeatRescue — Revenue &amp; costs ·'!G49/'NeatRescue — Revenue &amp; costs ·'!G28,"")</f>
        <v>0.6594977168949773</v>
      </c>
      <c r="H52" s="21">
        <f>IFERROR('NeatRescue — Revenue &amp; costs ·'!H49/'NeatRescue — Revenue &amp; costs ·'!H28,"")</f>
        <v>0.6594977168949772</v>
      </c>
      <c r="I52" s="21">
        <f>IFERROR('NeatRescue — Revenue &amp; costs ·'!I49/'NeatRescue — Revenue &amp; costs ·'!I28,"")</f>
        <v>0.6594977168949772</v>
      </c>
      <c r="J52" s="21">
        <f>IFERROR('NeatRescue — Revenue &amp; costs ·'!J49/'NeatRescue — Revenue &amp; costs ·'!J28,"")</f>
        <v>0.6594977168949772</v>
      </c>
      <c r="K52" s="21">
        <f>IFERROR('NeatRescue — Revenue &amp; costs ·'!K49/'NeatRescue — Revenue &amp; costs ·'!K28,"")</f>
        <v>0.6594977168949772</v>
      </c>
      <c r="L52" s="21">
        <f>IFERROR('NeatRescue — Revenue &amp; costs ·'!L49/'NeatRescue — Revenue &amp; costs ·'!L28,"")</f>
        <v>0.659497716894977</v>
      </c>
      <c r="M52" s="21">
        <f>IFERROR('NeatRescue — Revenue &amp; costs ·'!M49/'NeatRescue — Revenue &amp; costs ·'!M28,"")</f>
        <v>0.6594977168949772</v>
      </c>
    </row>
  </sheetData>
  <mergeCells count="1">
    <mergeCell ref="A1:M1"/>
  </mergeCells>
</worksheet>
</file>

<file path=xl/worksheets/sheet8.xml><?xml version="1.0" encoding="utf-8"?>
<worksheet xmlns="http://schemas.openxmlformats.org/spreadsheetml/2006/main">
  <dimension ref="A1:M2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NeatRescue — Cash &amp; scenarios · Profit, burn &amp; cash runway</t>
        </is>
      </c>
    </row>
    <row r="2" ht="20" customHeight="1">
      <c r="A2" t="inlineStr" s="2">
        <is>
          <t xml:space="preserve">Financial model (5 pages) · Main Scenario</t>
        </is>
      </c>
    </row>
    <row r="4" ht="22" customHeight="1">
      <c r="A4" t="inlineStr" s="3">
        <is>
          <t xml:space="preserve">Variable / dimension</t>
        </is>
      </c>
      <c r="B4" t="inlineStr" s="15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5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5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5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</row>
    <row r="5">
      <c r="A5" t="inlineStr" s="5">
        <is>
          <t xml:space="preserve">Fixed delivery costs</t>
        </is>
      </c>
      <c r="B5" s="10">
        <f>'NeatRescue — Assumptions &amp; simu'!B10+'NeatRescue — Assumptions &amp; simu'!B11+'NeatRescue — Assumptions &amp; simu'!B12+'NeatRescue — Assumptions &amp; simu'!B14</f>
        <v>225</v>
      </c>
      <c r="C5" s="10">
        <f>'NeatRescue — Assumptions &amp; simu'!B10+'NeatRescue — Assumptions &amp; simu'!B11+'NeatRescue — Assumptions &amp; simu'!B12+'NeatRescue — Assumptions &amp; simu'!B14</f>
        <v>225</v>
      </c>
      <c r="D5" s="10">
        <f>'NeatRescue — Assumptions &amp; simu'!B10+'NeatRescue — Assumptions &amp; simu'!B11+'NeatRescue — Assumptions &amp; simu'!B12+'NeatRescue — Assumptions &amp; simu'!B14</f>
        <v>225</v>
      </c>
      <c r="E5" s="10">
        <f>'NeatRescue — Assumptions &amp; simu'!B10+'NeatRescue — Assumptions &amp; simu'!B11+'NeatRescue — Assumptions &amp; simu'!B12+'NeatRescue — Assumptions &amp; simu'!B14</f>
        <v>225</v>
      </c>
      <c r="F5" s="10">
        <f>'NeatRescue — Assumptions &amp; simu'!B10+'NeatRescue — Assumptions &amp; simu'!B11+'NeatRescue — Assumptions &amp; simu'!B12+'NeatRescue — Assumptions &amp; simu'!B14</f>
        <v>225</v>
      </c>
      <c r="G5" s="10">
        <f>'NeatRescue — Assumptions &amp; simu'!B10+'NeatRescue — Assumptions &amp; simu'!B11+'NeatRescue — Assumptions &amp; simu'!B12+'NeatRescue — Assumptions &amp; simu'!B14</f>
        <v>225</v>
      </c>
      <c r="H5" s="10">
        <f>'NeatRescue — Assumptions &amp; simu'!B10+'NeatRescue — Assumptions &amp; simu'!B11+'NeatRescue — Assumptions &amp; simu'!B12+'NeatRescue — Assumptions &amp; simu'!B14</f>
        <v>225</v>
      </c>
      <c r="I5" s="10">
        <f>'NeatRescue — Assumptions &amp; simu'!B10+'NeatRescue — Assumptions &amp; simu'!B11+'NeatRescue — Assumptions &amp; simu'!B12+'NeatRescue — Assumptions &amp; simu'!B14</f>
        <v>225</v>
      </c>
      <c r="J5" s="10">
        <f>'NeatRescue — Assumptions &amp; simu'!B10+'NeatRescue — Assumptions &amp; simu'!B11+'NeatRescue — Assumptions &amp; simu'!B12+'NeatRescue — Assumptions &amp; simu'!B14</f>
        <v>225</v>
      </c>
      <c r="K5" s="10">
        <f>'NeatRescue — Assumptions &amp; simu'!B10+'NeatRescue — Assumptions &amp; simu'!B11+'NeatRescue — Assumptions &amp; simu'!B12+'NeatRescue — Assumptions &amp; simu'!B14</f>
        <v>225</v>
      </c>
      <c r="L5" s="10">
        <f>'NeatRescue — Assumptions &amp; simu'!B10+'NeatRescue — Assumptions &amp; simu'!B11+'NeatRescue — Assumptions &amp; simu'!B12+'NeatRescue — Assumptions &amp; simu'!B14</f>
        <v>225</v>
      </c>
      <c r="M5" s="10">
        <f>'NeatRescue — Assumptions &amp; simu'!B10+'NeatRescue — Assumptions &amp; simu'!B11+'NeatRescue — Assumptions &amp; simu'!B12+'NeatRescue — Assumptions &amp; simu'!B14</f>
        <v>225</v>
      </c>
    </row>
    <row r="6">
      <c r="A6" t="inlineStr" s="7">
        <is>
          <t xml:space="preserve">Cost of revenue</t>
        </is>
      </c>
      <c r="B6" s="11">
        <f>'NeatRescue — Revenue &amp; costs ·'!B44+'NeatRescue — Cash &amp; scenarios ·'!B5</f>
        <v>323.43</v>
      </c>
      <c r="C6" s="11">
        <f>'NeatRescue — Revenue &amp; costs ·'!C44+'NeatRescue — Cash &amp; scenarios ·'!C5</f>
        <v>426.78150000000005</v>
      </c>
      <c r="D6" s="11">
        <f>'NeatRescue — Revenue &amp; costs ·'!D44+'NeatRescue — Cash &amp; scenarios ·'!D5</f>
        <v>535.792725</v>
      </c>
      <c r="E6" s="11">
        <f>'NeatRescue — Revenue &amp; costs ·'!E44+'NeatRescue — Cash &amp; scenarios ·'!E5</f>
        <v>651.2634187500001</v>
      </c>
      <c r="F6" s="11">
        <f>'NeatRescue — Revenue &amp; costs ·'!F44+'NeatRescue — Cash &amp; scenarios ·'!F5</f>
        <v>774.0616108125001</v>
      </c>
      <c r="G6" s="11">
        <f>'NeatRescue — Revenue &amp; costs ·'!G44+'NeatRescue — Cash &amp; scenarios ·'!G5</f>
        <v>905.1310295718752</v>
      </c>
      <c r="H6" s="11">
        <f>'NeatRescue — Revenue &amp; costs ·'!H44+'NeatRescue — Cash &amp; scenarios ·'!H5</f>
        <v>1045.4992273232815</v>
      </c>
      <c r="I6" s="11">
        <f>'NeatRescue — Revenue &amp; costs ·'!I44+'NeatRescue — Cash &amp; scenarios ·'!I5</f>
        <v>1196.2864901101175</v>
      </c>
      <c r="J6" s="11">
        <f>'NeatRescue — Revenue &amp; costs ·'!J44+'NeatRescue — Cash &amp; scenarios ·'!J5</f>
        <v>1358.715612172912</v>
      </c>
      <c r="K6" s="11">
        <f>'NeatRescue — Revenue &amp; costs ·'!K44+'NeatRescue — Cash &amp; scenarios ·'!K5</f>
        <v>1534.1226227893965</v>
      </c>
      <c r="L6" s="11">
        <f>'NeatRescue — Revenue &amp; costs ·'!L44+'NeatRescue — Cash &amp; scenarios ·'!L5</f>
        <v>1723.9685619975703</v>
      </c>
      <c r="M6" s="11">
        <f>'NeatRescue — Revenue &amp; costs ·'!M44+'NeatRescue — Cash &amp; scenarios ·'!M5</f>
        <v>1929.8524112800994</v>
      </c>
    </row>
    <row r="7">
      <c r="A7" t="inlineStr" s="7">
        <is>
          <t xml:space="preserve">Gross profit</t>
        </is>
      </c>
      <c r="B7" s="11">
        <f>'NeatRescue — Hackathon subm (3)'!B5-'NeatRescue — Cash &amp; scenarios ·'!B6</f>
        <v>-2.430000000000007</v>
      </c>
      <c r="C7" s="11">
        <f>'NeatRescue — Hackathon subm (3)'!C5-'NeatRescue — Cash &amp; scenarios ·'!C6</f>
        <v>231.26850000000002</v>
      </c>
      <c r="D7" s="11">
        <f>'NeatRescue — Hackathon subm (3)'!D5-'NeatRescue — Cash &amp; scenarios ·'!D6</f>
        <v>477.7647750000001</v>
      </c>
      <c r="E7" s="11">
        <f>'NeatRescue — Hackathon subm (3)'!E5-'NeatRescue — Cash &amp; scenarios ·'!E6</f>
        <v>738.8672062500003</v>
      </c>
      <c r="F7" s="11">
        <f>'NeatRescue — Hackathon subm (3)'!F5-'NeatRescue — Cash &amp; scenarios ·'!F6</f>
        <v>1016.5385829375003</v>
      </c>
      <c r="G7" s="11">
        <f>'NeatRescue — Hackathon subm (3)'!G5-'NeatRescue — Cash &amp; scenarios ·'!G6</f>
        <v>1312.9128644906257</v>
      </c>
      <c r="H7" s="11">
        <f>'NeatRescue — Hackathon subm (3)'!H5-'NeatRescue — Cash &amp; scenarios ·'!H6</f>
        <v>1630.3135530360942</v>
      </c>
      <c r="I7" s="11">
        <f>'NeatRescue — Hackathon subm (3)'!I5-'NeatRescue — Cash &amp; scenarios ·'!I6</f>
        <v>1971.27384033129</v>
      </c>
      <c r="J7" s="11">
        <f>'NeatRescue — Hackathon subm (3)'!J5-'NeatRescue — Cash &amp; scenarios ·'!J6</f>
        <v>2338.5587097564257</v>
      </c>
      <c r="K7" s="11">
        <f>'NeatRescue — Hackathon subm (3)'!K5-'NeatRescue — Cash &amp; scenarios ·'!K6</f>
        <v>2735.189191854475</v>
      </c>
      <c r="L7" s="11">
        <f>'NeatRescue — Hackathon subm (3)'!L5-'NeatRescue — Cash &amp; scenarios ·'!L6</f>
        <v>3164.4689916062093</v>
      </c>
      <c r="M7" s="11">
        <f>'NeatRescue — Hackathon subm (3)'!M5-'NeatRescue — Cash &amp; scenarios ·'!M6</f>
        <v>3630.013727304802</v>
      </c>
    </row>
    <row r="8">
      <c r="A8" t="inlineStr" s="7">
        <is>
          <t xml:space="preserve">Gross margin</t>
        </is>
      </c>
      <c r="B8" s="21">
        <f>IFERROR('NeatRescue — Cash &amp; scenarios ·'!B7/'NeatRescue — Hackathon subm (3)'!B5,"")</f>
        <v>-0.007570093457943947</v>
      </c>
      <c r="C8" s="21">
        <f>IFERROR('NeatRescue — Cash &amp; scenarios ·'!C7/'NeatRescue — Hackathon subm (3)'!C5,"")</f>
        <v>0.35144517893777066</v>
      </c>
      <c r="D8" s="21">
        <f>IFERROR('NeatRescue — Cash &amp; scenarios ·'!D7/'NeatRescue — Hackathon subm (3)'!D5,"")</f>
        <v>0.4713741203631763</v>
      </c>
      <c r="E8" s="21">
        <f>IFERROR('NeatRescue — Cash &amp; scenarios ·'!E7/'NeatRescue — Hackathon subm (3)'!E5,"")</f>
        <v>0.5315091927062611</v>
      </c>
      <c r="F8" s="21">
        <f>IFERROR('NeatRescue — Cash &amp; scenarios ·'!F7/'NeatRescue — Hackathon subm (3)'!F5,"")</f>
        <v>0.5677082949536568</v>
      </c>
      <c r="G8" s="21">
        <f>IFERROR('NeatRescue — Cash &amp; scenarios ·'!G7/'NeatRescue — Hackathon subm (3)'!G5,"")</f>
        <v>0.5919237522779294</v>
      </c>
      <c r="H8" s="21">
        <f>IFERROR('NeatRescue — Cash &amp; scenarios ·'!H7/'NeatRescue — Hackathon subm (3)'!H5,"")</f>
        <v>0.6092778855840335</v>
      </c>
      <c r="I8" s="21">
        <f>IFERROR('NeatRescue — Cash &amp; scenarios ·'!I7/'NeatRescue — Hackathon subm (3)'!I5,"")</f>
        <v>0.622331900480831</v>
      </c>
      <c r="J8" s="21">
        <f>IFERROR('NeatRescue — Cash &amp; scenarios ·'!J7/'NeatRescue — Hackathon subm (3)'!J5,"")</f>
        <v>0.632508844660491</v>
      </c>
      <c r="K8" s="21">
        <f>IFERROR('NeatRescue — Cash &amp; scenarios ·'!K7/'NeatRescue — Hackathon subm (3)'!K5,"")</f>
        <v>0.6406627837471818</v>
      </c>
      <c r="L8" s="21">
        <f>IFERROR('NeatRescue — Cash &amp; scenarios ·'!L7/'NeatRescue — Hackathon subm (3)'!L5,"")</f>
        <v>0.6473375095634284</v>
      </c>
      <c r="M8" s="21">
        <f>IFERROR('NeatRescue — Cash &amp; scenarios ·'!M7/'NeatRescue — Hackathon subm (3)'!M5,"")</f>
        <v>0.6528958857683422</v>
      </c>
    </row>
    <row r="9">
      <c r="A9" t="inlineStr" s="7">
        <is>
          <t xml:space="preserve">Security expense</t>
        </is>
      </c>
      <c r="B9" s="11">
        <f>IF('NeatRescue — Assumptions &amp; simu'!B13="","",'NeatRescue — Assumptions &amp; simu'!B13)</f>
        <v>75</v>
      </c>
      <c r="C9" s="11">
        <f>IF('NeatRescue — Assumptions &amp; simu'!B13="","",'NeatRescue — Assumptions &amp; simu'!B13)</f>
        <v>75</v>
      </c>
      <c r="D9" s="11">
        <f>IF('NeatRescue — Assumptions &amp; simu'!B13="","",'NeatRescue — Assumptions &amp; simu'!B13)</f>
        <v>75</v>
      </c>
      <c r="E9" s="11">
        <f>IF('NeatRescue — Assumptions &amp; simu'!B13="","",'NeatRescue — Assumptions &amp; simu'!B13)</f>
        <v>75</v>
      </c>
      <c r="F9" s="11">
        <f>IF('NeatRescue — Assumptions &amp; simu'!B13="","",'NeatRescue — Assumptions &amp; simu'!B13)</f>
        <v>75</v>
      </c>
      <c r="G9" s="11">
        <f>IF('NeatRescue — Assumptions &amp; simu'!B13="","",'NeatRescue — Assumptions &amp; simu'!B13)</f>
        <v>75</v>
      </c>
      <c r="H9" s="11">
        <f>IF('NeatRescue — Assumptions &amp; simu'!B13="","",'NeatRescue — Assumptions &amp; simu'!B13)</f>
        <v>75</v>
      </c>
      <c r="I9" s="11">
        <f>IF('NeatRescue — Assumptions &amp; simu'!B13="","",'NeatRescue — Assumptions &amp; simu'!B13)</f>
        <v>75</v>
      </c>
      <c r="J9" s="11">
        <f>IF('NeatRescue — Assumptions &amp; simu'!B13="","",'NeatRescue — Assumptions &amp; simu'!B13)</f>
        <v>75</v>
      </c>
      <c r="K9" s="11">
        <f>IF('NeatRescue — Assumptions &amp; simu'!B13="","",'NeatRescue — Assumptions &amp; simu'!B13)</f>
        <v>75</v>
      </c>
      <c r="L9" s="11">
        <f>IF('NeatRescue — Assumptions &amp; simu'!B13="","",'NeatRescue — Assumptions &amp; simu'!B13)</f>
        <v>75</v>
      </c>
      <c r="M9" s="11">
        <f>IF('NeatRescue — Assumptions &amp; simu'!B13="","",'NeatRescue — Assumptions &amp; simu'!B13)</f>
        <v>75</v>
      </c>
    </row>
    <row r="10">
      <c r="A10" t="inlineStr" s="7">
        <is>
          <t xml:space="preserve">Acquisition expense</t>
        </is>
      </c>
      <c r="B10" s="11">
        <f>IF('NeatRescue — Assumptions &amp; simu'!B15="","",'NeatRescue — Assumptions &amp; simu'!B15)</f>
        <v>150</v>
      </c>
      <c r="C10" s="11">
        <f>IF('NeatRescue — Assumptions &amp; simu'!B15="","",'NeatRescue — Assumptions &amp; simu'!B15)</f>
        <v>150</v>
      </c>
      <c r="D10" s="11">
        <f>IF('NeatRescue — Assumptions &amp; simu'!B15="","",'NeatRescue — Assumptions &amp; simu'!B15)</f>
        <v>150</v>
      </c>
      <c r="E10" s="11">
        <f>IF('NeatRescue — Assumptions &amp; simu'!B15="","",'NeatRescue — Assumptions &amp; simu'!B15)</f>
        <v>150</v>
      </c>
      <c r="F10" s="11">
        <f>IF('NeatRescue — Assumptions &amp; simu'!B15="","",'NeatRescue — Assumptions &amp; simu'!B15)</f>
        <v>150</v>
      </c>
      <c r="G10" s="11">
        <f>IF('NeatRescue — Assumptions &amp; simu'!B15="","",'NeatRescue — Assumptions &amp; simu'!B15)</f>
        <v>150</v>
      </c>
      <c r="H10" s="11">
        <f>IF('NeatRescue — Assumptions &amp; simu'!B15="","",'NeatRescue — Assumptions &amp; simu'!B15)</f>
        <v>150</v>
      </c>
      <c r="I10" s="11">
        <f>IF('NeatRescue — Assumptions &amp; simu'!B15="","",'NeatRescue — Assumptions &amp; simu'!B15)</f>
        <v>150</v>
      </c>
      <c r="J10" s="11">
        <f>IF('NeatRescue — Assumptions &amp; simu'!B15="","",'NeatRescue — Assumptions &amp; simu'!B15)</f>
        <v>150</v>
      </c>
      <c r="K10" s="11">
        <f>IF('NeatRescue — Assumptions &amp; simu'!B15="","",'NeatRescue — Assumptions &amp; simu'!B15)</f>
        <v>150</v>
      </c>
      <c r="L10" s="11">
        <f>IF('NeatRescue — Assumptions &amp; simu'!B15="","",'NeatRescue — Assumptions &amp; simu'!B15)</f>
        <v>150</v>
      </c>
      <c r="M10" s="11">
        <f>IF('NeatRescue — Assumptions &amp; simu'!B15="","",'NeatRescue — Assumptions &amp; simu'!B15)</f>
        <v>150</v>
      </c>
    </row>
    <row r="11">
      <c r="A11" t="inlineStr" s="7">
        <is>
          <t xml:space="preserve">Founder pay</t>
        </is>
      </c>
      <c r="B11" s="11">
        <f>IF('NeatRescue — Assumptions &amp; simu'!B19="","",'NeatRescue — Assumptions &amp; simu'!B19)</f>
        <v>0</v>
      </c>
      <c r="C11" s="11">
        <f>IF('NeatRescue — Assumptions &amp; simu'!B19="","",'NeatRescue — Assumptions &amp; simu'!B19)</f>
        <v>0</v>
      </c>
      <c r="D11" s="11">
        <f>IF('NeatRescue — Assumptions &amp; simu'!B19="","",'NeatRescue — Assumptions &amp; simu'!B19)</f>
        <v>0</v>
      </c>
      <c r="E11" s="11">
        <f>IF('NeatRescue — Assumptions &amp; simu'!B19="","",'NeatRescue — Assumptions &amp; simu'!B19)</f>
        <v>0</v>
      </c>
      <c r="F11" s="11">
        <f>IF('NeatRescue — Assumptions &amp; simu'!B19="","",'NeatRescue — Assumptions &amp; simu'!B19)</f>
        <v>0</v>
      </c>
      <c r="G11" s="11">
        <f>IF('NeatRescue — Assumptions &amp; simu'!B19="","",'NeatRescue — Assumptions &amp; simu'!B19)</f>
        <v>0</v>
      </c>
      <c r="H11" s="11">
        <f>IF('NeatRescue — Assumptions &amp; simu'!B19="","",'NeatRescue — Assumptions &amp; simu'!B19)</f>
        <v>0</v>
      </c>
      <c r="I11" s="11">
        <f>IF('NeatRescue — Assumptions &amp; simu'!B19="","",'NeatRescue — Assumptions &amp; simu'!B19)</f>
        <v>0</v>
      </c>
      <c r="J11" s="11">
        <f>IF('NeatRescue — Assumptions &amp; simu'!B19="","",'NeatRescue — Assumptions &amp; simu'!B19)</f>
        <v>0</v>
      </c>
      <c r="K11" s="11">
        <f>IF('NeatRescue — Assumptions &amp; simu'!B19="","",'NeatRescue — Assumptions &amp; simu'!B19)</f>
        <v>0</v>
      </c>
      <c r="L11" s="11">
        <f>IF('NeatRescue — Assumptions &amp; simu'!B19="","",'NeatRescue — Assumptions &amp; simu'!B19)</f>
        <v>0</v>
      </c>
      <c r="M11" s="11">
        <f>IF('NeatRescue — Assumptions &amp; simu'!B19="","",'NeatRescue — Assumptions &amp; simu'!B19)</f>
        <v>0</v>
      </c>
    </row>
    <row r="12">
      <c r="A12" t="inlineStr" s="7">
        <is>
          <t xml:space="preserve">One-time launch cost</t>
        </is>
      </c>
      <c r="B12" s="11">
        <f>IF('NeatRescue — Assumptions &amp; simu'!B16="","",'NeatRescue — Assumptions &amp; simu'!B16)</f>
        <v>200</v>
      </c>
      <c r="C12" s="11">
        <f>0</f>
        <v>0</v>
      </c>
      <c r="D12" s="11">
        <f>0</f>
        <v>0</v>
      </c>
      <c r="E12" s="11">
        <f>0</f>
        <v>0</v>
      </c>
      <c r="F12" s="11">
        <f>0</f>
        <v>0</v>
      </c>
      <c r="G12" s="11">
        <f>0</f>
        <v>0</v>
      </c>
      <c r="H12" s="11">
        <f>0</f>
        <v>0</v>
      </c>
      <c r="I12" s="11">
        <f>0</f>
        <v>0</v>
      </c>
      <c r="J12" s="11">
        <f>0</f>
        <v>0</v>
      </c>
      <c r="K12" s="11">
        <f>0</f>
        <v>0</v>
      </c>
      <c r="L12" s="11">
        <f>0</f>
        <v>0</v>
      </c>
      <c r="M12" s="11">
        <f>0</f>
        <v>0</v>
      </c>
    </row>
    <row r="13">
      <c r="A13" t="inlineStr" s="7">
        <is>
          <t xml:space="preserve">Operating expenses</t>
        </is>
      </c>
      <c r="B13" s="11">
        <f>'NeatRescue — Cash &amp; scenarios ·'!B9+'NeatRescue — Cash &amp; scenarios ·'!B10+'NeatRescue — Cash &amp; scenarios ·'!B11+'NeatRescue — Cash &amp; scenarios ·'!B12</f>
        <v>425</v>
      </c>
      <c r="C13" s="11">
        <f>'NeatRescue — Cash &amp; scenarios ·'!C9+'NeatRescue — Cash &amp; scenarios ·'!C10+'NeatRescue — Cash &amp; scenarios ·'!C11+'NeatRescue — Cash &amp; scenarios ·'!C12</f>
        <v>225</v>
      </c>
      <c r="D13" s="11">
        <f>'NeatRescue — Cash &amp; scenarios ·'!D9+'NeatRescue — Cash &amp; scenarios ·'!D10+'NeatRescue — Cash &amp; scenarios ·'!D11+'NeatRescue — Cash &amp; scenarios ·'!D12</f>
        <v>225</v>
      </c>
      <c r="E13" s="11">
        <f>'NeatRescue — Cash &amp; scenarios ·'!E9+'NeatRescue — Cash &amp; scenarios ·'!E10+'NeatRescue — Cash &amp; scenarios ·'!E11+'NeatRescue — Cash &amp; scenarios ·'!E12</f>
        <v>225</v>
      </c>
      <c r="F13" s="11">
        <f>'NeatRescue — Cash &amp; scenarios ·'!F9+'NeatRescue — Cash &amp; scenarios ·'!F10+'NeatRescue — Cash &amp; scenarios ·'!F11+'NeatRescue — Cash &amp; scenarios ·'!F12</f>
        <v>225</v>
      </c>
      <c r="G13" s="11">
        <f>'NeatRescue — Cash &amp; scenarios ·'!G9+'NeatRescue — Cash &amp; scenarios ·'!G10+'NeatRescue — Cash &amp; scenarios ·'!G11+'NeatRescue — Cash &amp; scenarios ·'!G12</f>
        <v>225</v>
      </c>
      <c r="H13" s="11">
        <f>'NeatRescue — Cash &amp; scenarios ·'!H9+'NeatRescue — Cash &amp; scenarios ·'!H10+'NeatRescue — Cash &amp; scenarios ·'!H11+'NeatRescue — Cash &amp; scenarios ·'!H12</f>
        <v>225</v>
      </c>
      <c r="I13" s="11">
        <f>'NeatRescue — Cash &amp; scenarios ·'!I9+'NeatRescue — Cash &amp; scenarios ·'!I10+'NeatRescue — Cash &amp; scenarios ·'!I11+'NeatRescue — Cash &amp; scenarios ·'!I12</f>
        <v>225</v>
      </c>
      <c r="J13" s="11">
        <f>'NeatRescue — Cash &amp; scenarios ·'!J9+'NeatRescue — Cash &amp; scenarios ·'!J10+'NeatRescue — Cash &amp; scenarios ·'!J11+'NeatRescue — Cash &amp; scenarios ·'!J12</f>
        <v>225</v>
      </c>
      <c r="K13" s="11">
        <f>'NeatRescue — Cash &amp; scenarios ·'!K9+'NeatRescue — Cash &amp; scenarios ·'!K10+'NeatRescue — Cash &amp; scenarios ·'!K11+'NeatRescue — Cash &amp; scenarios ·'!K12</f>
        <v>225</v>
      </c>
      <c r="L13" s="11">
        <f>'NeatRescue — Cash &amp; scenarios ·'!L9+'NeatRescue — Cash &amp; scenarios ·'!L10+'NeatRescue — Cash &amp; scenarios ·'!L11+'NeatRescue — Cash &amp; scenarios ·'!L12</f>
        <v>225</v>
      </c>
      <c r="M13" s="11">
        <f>'NeatRescue — Cash &amp; scenarios ·'!M9+'NeatRescue — Cash &amp; scenarios ·'!M10+'NeatRescue — Cash &amp; scenarios ·'!M11+'NeatRescue — Cash &amp; scenarios ·'!M12</f>
        <v>225</v>
      </c>
    </row>
    <row r="14">
      <c r="A14" t="inlineStr" s="7">
        <is>
          <t xml:space="preserve">Operating profit</t>
        </is>
      </c>
      <c r="B14" s="11">
        <f>'NeatRescue — Cash &amp; scenarios ·'!B7-'NeatRescue — Cash &amp; scenarios ·'!B13</f>
        <v>-427.43</v>
      </c>
      <c r="C14" s="11">
        <f>'NeatRescue — Cash &amp; scenarios ·'!C7-'NeatRescue — Cash &amp; scenarios ·'!C13</f>
        <v>6.268500000000017</v>
      </c>
      <c r="D14" s="11">
        <f>'NeatRescue — Cash &amp; scenarios ·'!D7-'NeatRescue — Cash &amp; scenarios ·'!D13</f>
        <v>252.7647750000001</v>
      </c>
      <c r="E14" s="11">
        <f>'NeatRescue — Cash &amp; scenarios ·'!E7-'NeatRescue — Cash &amp; scenarios ·'!E13</f>
        <v>513.8672062500003</v>
      </c>
      <c r="F14" s="11">
        <f>'NeatRescue — Cash &amp; scenarios ·'!F7-'NeatRescue — Cash &amp; scenarios ·'!F13</f>
        <v>791.5385829375003</v>
      </c>
      <c r="G14" s="11">
        <f>'NeatRescue — Cash &amp; scenarios ·'!G7-'NeatRescue — Cash &amp; scenarios ·'!G13</f>
        <v>1087.9128644906257</v>
      </c>
      <c r="H14" s="11">
        <f>'NeatRescue — Cash &amp; scenarios ·'!H7-'NeatRescue — Cash &amp; scenarios ·'!H13</f>
        <v>1405.3135530360942</v>
      </c>
      <c r="I14" s="11">
        <f>'NeatRescue — Cash &amp; scenarios ·'!I7-'NeatRescue — Cash &amp; scenarios ·'!I13</f>
        <v>1746.27384033129</v>
      </c>
      <c r="J14" s="11">
        <f>'NeatRescue — Cash &amp; scenarios ·'!J7-'NeatRescue — Cash &amp; scenarios ·'!J13</f>
        <v>2113.5587097564257</v>
      </c>
      <c r="K14" s="11">
        <f>'NeatRescue — Cash &amp; scenarios ·'!K7-'NeatRescue — Cash &amp; scenarios ·'!K13</f>
        <v>2510.189191854475</v>
      </c>
      <c r="L14" s="11">
        <f>'NeatRescue — Cash &amp; scenarios ·'!L7-'NeatRescue — Cash &amp; scenarios ·'!L13</f>
        <v>2939.4689916062093</v>
      </c>
      <c r="M14" s="11">
        <f>'NeatRescue — Cash &amp; scenarios ·'!M7-'NeatRescue — Cash &amp; scenarios ·'!M13</f>
        <v>3405.013727304802</v>
      </c>
    </row>
    <row r="15">
      <c r="A15" t="inlineStr" s="7">
        <is>
          <t xml:space="preserve">Net cash flow</t>
        </is>
      </c>
      <c r="B15" s="11">
        <f>IF('NeatRescue — Cash &amp; scenarios ·'!B14="","",'NeatRescue — Cash &amp; scenarios ·'!B14)</f>
        <v>-427.43</v>
      </c>
      <c r="C15" s="11">
        <f>IF('NeatRescue — Cash &amp; scenarios ·'!C14="","",'NeatRescue — Cash &amp; scenarios ·'!C14)</f>
        <v>6.268500000000017</v>
      </c>
      <c r="D15" s="11">
        <f>IF('NeatRescue — Cash &amp; scenarios ·'!D14="","",'NeatRescue — Cash &amp; scenarios ·'!D14)</f>
        <v>252.7647750000001</v>
      </c>
      <c r="E15" s="11">
        <f>IF('NeatRescue — Cash &amp; scenarios ·'!E14="","",'NeatRescue — Cash &amp; scenarios ·'!E14)</f>
        <v>513.8672062500003</v>
      </c>
      <c r="F15" s="11">
        <f>IF('NeatRescue — Cash &amp; scenarios ·'!F14="","",'NeatRescue — Cash &amp; scenarios ·'!F14)</f>
        <v>791.5385829375003</v>
      </c>
      <c r="G15" s="11">
        <f>IF('NeatRescue — Cash &amp; scenarios ·'!G14="","",'NeatRescue — Cash &amp; scenarios ·'!G14)</f>
        <v>1087.9128644906257</v>
      </c>
      <c r="H15" s="11">
        <f>IF('NeatRescue — Cash &amp; scenarios ·'!H14="","",'NeatRescue — Cash &amp; scenarios ·'!H14)</f>
        <v>1405.3135530360942</v>
      </c>
      <c r="I15" s="11">
        <f>IF('NeatRescue — Cash &amp; scenarios ·'!I14="","",'NeatRescue — Cash &amp; scenarios ·'!I14)</f>
        <v>1746.27384033129</v>
      </c>
      <c r="J15" s="11">
        <f>IF('NeatRescue — Cash &amp; scenarios ·'!J14="","",'NeatRescue — Cash &amp; scenarios ·'!J14)</f>
        <v>2113.5587097564257</v>
      </c>
      <c r="K15" s="11">
        <f>IF('NeatRescue — Cash &amp; scenarios ·'!K14="","",'NeatRescue — Cash &amp; scenarios ·'!K14)</f>
        <v>2510.189191854475</v>
      </c>
      <c r="L15" s="11">
        <f>IF('NeatRescue — Cash &amp; scenarios ·'!L14="","",'NeatRescue — Cash &amp; scenarios ·'!L14)</f>
        <v>2939.4689916062093</v>
      </c>
      <c r="M15" s="11">
        <f>IF('NeatRescue — Cash &amp; scenarios ·'!M14="","",'NeatRescue — Cash &amp; scenarios ·'!M14)</f>
        <v>3405.013727304802</v>
      </c>
    </row>
    <row r="16">
      <c r="A16" t="inlineStr" s="7">
        <is>
          <t xml:space="preserve">Monthly burn</t>
        </is>
      </c>
      <c r="B16" s="11">
        <f>MAX(-'NeatRescue — Cash &amp; scenarios ·'!B15,0)</f>
        <v>427.43</v>
      </c>
      <c r="C16" s="11">
        <f>MAX(-'NeatRescue — Cash &amp; scenarios ·'!C15,0)</f>
        <v>0</v>
      </c>
      <c r="D16" s="11">
        <f>MAX(-'NeatRescue — Cash &amp; scenarios ·'!D15,0)</f>
        <v>0</v>
      </c>
      <c r="E16" s="11">
        <f>MAX(-'NeatRescue — Cash &amp; scenarios ·'!E15,0)</f>
        <v>0</v>
      </c>
      <c r="F16" s="11">
        <f>MAX(-'NeatRescue — Cash &amp; scenarios ·'!F15,0)</f>
        <v>0</v>
      </c>
      <c r="G16" s="11">
        <f>MAX(-'NeatRescue — Cash &amp; scenarios ·'!G15,0)</f>
        <v>0</v>
      </c>
      <c r="H16" s="11">
        <f>MAX(-'NeatRescue — Cash &amp; scenarios ·'!H15,0)</f>
        <v>0</v>
      </c>
      <c r="I16" s="11">
        <f>MAX(-'NeatRescue — Cash &amp; scenarios ·'!I15,0)</f>
        <v>0</v>
      </c>
      <c r="J16" s="11">
        <f>MAX(-'NeatRescue — Cash &amp; scenarios ·'!J15,0)</f>
        <v>0</v>
      </c>
      <c r="K16" s="11">
        <f>MAX(-'NeatRescue — Cash &amp; scenarios ·'!K15,0)</f>
        <v>0</v>
      </c>
      <c r="L16" s="11">
        <f>MAX(-'NeatRescue — Cash &amp; scenarios ·'!L15,0)</f>
        <v>0</v>
      </c>
      <c r="M16" s="11">
        <f>MAX(-'NeatRescue — Cash &amp; scenarios ·'!M15,0)</f>
        <v>0</v>
      </c>
    </row>
    <row r="17">
      <c r="A17" t="inlineStr" s="7">
        <is>
          <t xml:space="preserve">Closing cash</t>
        </is>
      </c>
      <c r="B17" s="11">
        <f>IF(IF(DATE(2026,10,1)=DATE(2026,10,1),IF('NeatRescue — Assumptions &amp; simu'!B17="","",'NeatRescue — Assumptions &amp; simu'!B17),IF('Model inputs'!C11="","",'Model inputs'!C11))="",0,IF(DATE(2026,10,1)=DATE(2026,10,1),IF('NeatRescue — Assumptions &amp; simu'!B17="","",'NeatRescue — Assumptions &amp; simu'!B17),IF('Model inputs'!C11="","",'Model inputs'!C11)))+'NeatRescue — Cash &amp; scenarios ·'!B15</f>
        <v>-427.43</v>
      </c>
      <c r="C17" s="11">
        <f>IF(IF(DATE(2026,11,1)=DATE(2026,10,1),IF('NeatRescue — Assumptions &amp; simu'!B17="","",'NeatRescue — Assumptions &amp; simu'!B17),IF('NeatRescue — Cash &amp; scenarios ·'!B17="","",'NeatRescue — Cash &amp; scenarios ·'!B17))="",0,IF(DATE(2026,11,1)=DATE(2026,10,1),IF('NeatRescue — Assumptions &amp; simu'!B17="","",'NeatRescue — Assumptions &amp; simu'!B17),IF('NeatRescue — Cash &amp; scenarios ·'!B17="","",'NeatRescue — Cash &amp; scenarios ·'!B17)))+'NeatRescue — Cash &amp; scenarios ·'!C15</f>
        <v>-421.1615</v>
      </c>
      <c r="D17" s="11">
        <f>IF(IF(DATE(2026,12,1)=DATE(2026,10,1),IF('NeatRescue — Assumptions &amp; simu'!B17="","",'NeatRescue — Assumptions &amp; simu'!B17),IF('NeatRescue — Cash &amp; scenarios ·'!C17="","",'NeatRescue — Cash &amp; scenarios ·'!C17))="",0,IF(DATE(2026,12,1)=DATE(2026,10,1),IF('NeatRescue — Assumptions &amp; simu'!B17="","",'NeatRescue — Assumptions &amp; simu'!B17),IF('NeatRescue — Cash &amp; scenarios ·'!C17="","",'NeatRescue — Cash &amp; scenarios ·'!C17)))+'NeatRescue — Cash &amp; scenarios ·'!D15</f>
        <v>-168.3967249999999</v>
      </c>
      <c r="E17" s="11">
        <f>IF(IF(DATE(2027,1,1)=DATE(2026,10,1),IF('NeatRescue — Assumptions &amp; simu'!B17="","",'NeatRescue — Assumptions &amp; simu'!B17),IF('NeatRescue — Cash &amp; scenarios ·'!D17="","",'NeatRescue — Cash &amp; scenarios ·'!D17))="",0,IF(DATE(2027,1,1)=DATE(2026,10,1),IF('NeatRescue — Assumptions &amp; simu'!B17="","",'NeatRescue — Assumptions &amp; simu'!B17),IF('NeatRescue — Cash &amp; scenarios ·'!D17="","",'NeatRescue — Cash &amp; scenarios ·'!D17)))+'NeatRescue — Cash &amp; scenarios ·'!E15</f>
        <v>345.47048125000043</v>
      </c>
      <c r="F17" s="11">
        <f>IF(IF(DATE(2027,2,1)=DATE(2026,10,1),IF('NeatRescue — Assumptions &amp; simu'!B17="","",'NeatRescue — Assumptions &amp; simu'!B17),IF('NeatRescue — Cash &amp; scenarios ·'!E17="","",'NeatRescue — Cash &amp; scenarios ·'!E17))="",0,IF(DATE(2027,2,1)=DATE(2026,10,1),IF('NeatRescue — Assumptions &amp; simu'!B17="","",'NeatRescue — Assumptions &amp; simu'!B17),IF('NeatRescue — Cash &amp; scenarios ·'!E17="","",'NeatRescue — Cash &amp; scenarios ·'!E17)))+'NeatRescue — Cash &amp; scenarios ·'!F15</f>
        <v>1137.0090641875008</v>
      </c>
      <c r="G17" s="11">
        <f>IF(IF(DATE(2027,3,1)=DATE(2026,10,1),IF('NeatRescue — Assumptions &amp; simu'!B17="","",'NeatRescue — Assumptions &amp; simu'!B17),IF('NeatRescue — Cash &amp; scenarios ·'!F17="","",'NeatRescue — Cash &amp; scenarios ·'!F17))="",0,IF(DATE(2027,3,1)=DATE(2026,10,1),IF('NeatRescue — Assumptions &amp; simu'!B17="","",'NeatRescue — Assumptions &amp; simu'!B17),IF('NeatRescue — Cash &amp; scenarios ·'!F17="","",'NeatRescue — Cash &amp; scenarios ·'!F17)))+'NeatRescue — Cash &amp; scenarios ·'!G15</f>
        <v>2224.9219286781263</v>
      </c>
      <c r="H17" s="11">
        <f>IF(IF(DATE(2027,4,1)=DATE(2026,10,1),IF('NeatRescue — Assumptions &amp; simu'!B17="","",'NeatRescue — Assumptions &amp; simu'!B17),IF('NeatRescue — Cash &amp; scenarios ·'!G17="","",'NeatRescue — Cash &amp; scenarios ·'!G17))="",0,IF(DATE(2027,4,1)=DATE(2026,10,1),IF('NeatRescue — Assumptions &amp; simu'!B17="","",'NeatRescue — Assumptions &amp; simu'!B17),IF('NeatRescue — Cash &amp; scenarios ·'!G17="","",'NeatRescue — Cash &amp; scenarios ·'!G17)))+'NeatRescue — Cash &amp; scenarios ·'!H15</f>
        <v>3630.2354817142204</v>
      </c>
      <c r="I17" s="11">
        <f>IF(IF(DATE(2027,5,1)=DATE(2026,10,1),IF('NeatRescue — Assumptions &amp; simu'!B17="","",'NeatRescue — Assumptions &amp; simu'!B17),IF('NeatRescue — Cash &amp; scenarios ·'!H17="","",'NeatRescue — Cash &amp; scenarios ·'!H17))="",0,IF(DATE(2027,5,1)=DATE(2026,10,1),IF('NeatRescue — Assumptions &amp; simu'!B17="","",'NeatRescue — Assumptions &amp; simu'!B17),IF('NeatRescue — Cash &amp; scenarios ·'!H17="","",'NeatRescue — Cash &amp; scenarios ·'!H17)))+'NeatRescue — Cash &amp; scenarios ·'!I15</f>
        <v>5376.509322045511</v>
      </c>
      <c r="J17" s="11">
        <f>IF(IF(DATE(2027,6,1)=DATE(2026,10,1),IF('NeatRescue — Assumptions &amp; simu'!B17="","",'NeatRescue — Assumptions &amp; simu'!B17),IF('NeatRescue — Cash &amp; scenarios ·'!I17="","",'NeatRescue — Cash &amp; scenarios ·'!I17))="",0,IF(DATE(2027,6,1)=DATE(2026,10,1),IF('NeatRescue — Assumptions &amp; simu'!B17="","",'NeatRescue — Assumptions &amp; simu'!B17),IF('NeatRescue — Cash &amp; scenarios ·'!I17="","",'NeatRescue — Cash &amp; scenarios ·'!I17)))+'NeatRescue — Cash &amp; scenarios ·'!J15</f>
        <v>7490.068031801937</v>
      </c>
      <c r="K17" s="11">
        <f>IF(IF(DATE(2027,7,1)=DATE(2026,10,1),IF('NeatRescue — Assumptions &amp; simu'!B17="","",'NeatRescue — Assumptions &amp; simu'!B17),IF('NeatRescue — Cash &amp; scenarios ·'!J17="","",'NeatRescue — Cash &amp; scenarios ·'!J17))="",0,IF(DATE(2027,7,1)=DATE(2026,10,1),IF('NeatRescue — Assumptions &amp; simu'!B17="","",'NeatRescue — Assumptions &amp; simu'!B17),IF('NeatRescue — Cash &amp; scenarios ·'!J17="","",'NeatRescue — Cash &amp; scenarios ·'!J17)))+'NeatRescue — Cash &amp; scenarios ·'!K15</f>
        <v>10000.257223656412</v>
      </c>
      <c r="L17" s="11">
        <f>IF(IF(DATE(2027,8,1)=DATE(2026,10,1),IF('NeatRescue — Assumptions &amp; simu'!B17="","",'NeatRescue — Assumptions &amp; simu'!B17),IF('NeatRescue — Cash &amp; scenarios ·'!K17="","",'NeatRescue — Cash &amp; scenarios ·'!K17))="",0,IF(DATE(2027,8,1)=DATE(2026,10,1),IF('NeatRescue — Assumptions &amp; simu'!B17="","",'NeatRescue — Assumptions &amp; simu'!B17),IF('NeatRescue — Cash &amp; scenarios ·'!K17="","",'NeatRescue — Cash &amp; scenarios ·'!K17)))+'NeatRescue — Cash &amp; scenarios ·'!L15</f>
        <v>12939.72621526262</v>
      </c>
      <c r="M17" s="11">
        <f>IF(IF(DATE(2027,9,1)=DATE(2026,10,1),IF('NeatRescue — Assumptions &amp; simu'!B17="","",'NeatRescue — Assumptions &amp; simu'!B17),IF('NeatRescue — Cash &amp; scenarios ·'!L17="","",'NeatRescue — Cash &amp; scenarios ·'!L17))="",0,IF(DATE(2027,9,1)=DATE(2026,10,1),IF('NeatRescue — Assumptions &amp; simu'!B17="","",'NeatRescue — Assumptions &amp; simu'!B17),IF('NeatRescue — Cash &amp; scenarios ·'!L17="","",'NeatRescue — Cash &amp; scenarios ·'!L17)))+'NeatRescue — Cash &amp; scenarios ·'!M15</f>
        <v>16344.739942567423</v>
      </c>
    </row>
    <row r="18">
      <c r="A18" t="inlineStr" s="7">
        <is>
          <t xml:space="preserve">Funding shortfall</t>
        </is>
      </c>
      <c r="B18" s="11">
        <f>MAX(-'NeatRescue — Cash &amp; scenarios ·'!B17,0)</f>
        <v>427.43</v>
      </c>
      <c r="C18" s="11">
        <f>MAX(-'NeatRescue — Cash &amp; scenarios ·'!C17,0)</f>
        <v>421.1615</v>
      </c>
      <c r="D18" s="11">
        <f>MAX(-'NeatRescue — Cash &amp; scenarios ·'!D17,0)</f>
        <v>168.3967249999999</v>
      </c>
      <c r="E18" s="11">
        <f>MAX(-'NeatRescue — Cash &amp; scenarios ·'!E17,0)</f>
        <v>0</v>
      </c>
      <c r="F18" s="11">
        <f>MAX(-'NeatRescue — Cash &amp; scenarios ·'!F17,0)</f>
        <v>0</v>
      </c>
      <c r="G18" s="11">
        <f>MAX(-'NeatRescue — Cash &amp; scenarios ·'!G17,0)</f>
        <v>0</v>
      </c>
      <c r="H18" s="11">
        <f>MAX(-'NeatRescue — Cash &amp; scenarios ·'!H17,0)</f>
        <v>0</v>
      </c>
      <c r="I18" s="11">
        <f>MAX(-'NeatRescue — Cash &amp; scenarios ·'!I17,0)</f>
        <v>0</v>
      </c>
      <c r="J18" s="11">
        <f>MAX(-'NeatRescue — Cash &amp; scenarios ·'!J17,0)</f>
        <v>0</v>
      </c>
      <c r="K18" s="11">
        <f>MAX(-'NeatRescue — Cash &amp; scenarios ·'!K17,0)</f>
        <v>0</v>
      </c>
      <c r="L18" s="11">
        <f>MAX(-'NeatRescue — Cash &amp; scenarios ·'!L17,0)</f>
        <v>0</v>
      </c>
      <c r="M18" s="11">
        <f>MAX(-'NeatRescue — Cash &amp; scenarios ·'!M17,0)</f>
        <v>0</v>
      </c>
    </row>
    <row r="19">
      <c r="A19" t="inlineStr" s="7">
        <is>
          <t xml:space="preserve">Revenue per customer</t>
        </is>
      </c>
      <c r="B19" s="8">
        <f>IFERROR('NeatRescue — Hackathon subm (3)'!B5/'NeatRescue — Revenue &amp; costs ·'!B14,"")</f>
        <v>107</v>
      </c>
      <c r="C19" s="8">
        <f>IFERROR('NeatRescue — Hackathon subm (3)'!C5/'NeatRescue — Revenue &amp; costs ·'!C14,"")</f>
        <v>107</v>
      </c>
      <c r="D19" s="8">
        <f>IFERROR('NeatRescue — Hackathon subm (3)'!D5/'NeatRescue — Revenue &amp; costs ·'!D14,"")</f>
        <v>106.99999999999999</v>
      </c>
      <c r="E19" s="8">
        <f>IFERROR('NeatRescue — Hackathon subm (3)'!E5/'NeatRescue — Revenue &amp; costs ·'!E14,"")</f>
        <v>107</v>
      </c>
      <c r="F19" s="8">
        <f>IFERROR('NeatRescue — Hackathon subm (3)'!F5/'NeatRescue — Revenue &amp; costs ·'!F14,"")</f>
        <v>107</v>
      </c>
      <c r="G19" s="8">
        <f>IFERROR('NeatRescue — Hackathon subm (3)'!G5/'NeatRescue — Revenue &amp; costs ·'!G14,"")</f>
        <v>107</v>
      </c>
      <c r="H19" s="8">
        <f>IFERROR('NeatRescue — Hackathon subm (3)'!H5/'NeatRescue — Revenue &amp; costs ·'!H14,"")</f>
        <v>106.99999999999999</v>
      </c>
      <c r="I19" s="8">
        <f>IFERROR('NeatRescue — Hackathon subm (3)'!I5/'NeatRescue — Revenue &amp; costs ·'!I14,"")</f>
        <v>106.99999999999999</v>
      </c>
      <c r="J19" s="8">
        <f>IFERROR('NeatRescue — Hackathon subm (3)'!J5/'NeatRescue — Revenue &amp; costs ·'!J14,"")</f>
        <v>107.00000000000001</v>
      </c>
      <c r="K19" s="8">
        <f>IFERROR('NeatRescue — Hackathon subm (3)'!K5/'NeatRescue — Revenue &amp; costs ·'!K14,"")</f>
        <v>107</v>
      </c>
      <c r="L19" s="8">
        <f>IFERROR('NeatRescue — Hackathon subm (3)'!L5/'NeatRescue — Revenue &amp; costs ·'!L14,"")</f>
        <v>107</v>
      </c>
      <c r="M19" s="8">
        <f>IFERROR('NeatRescue — Hackathon subm (3)'!M5/'NeatRescue — Revenue &amp; costs ·'!M14,"")</f>
        <v>107</v>
      </c>
    </row>
    <row r="20">
      <c r="A20" t="inlineStr" s="7">
        <is>
          <t xml:space="preserve">Contribution per customer</t>
        </is>
      </c>
      <c r="B20" s="8">
        <f>IFERROR('NeatRescue — Revenue &amp; costs ·'!B47/'NeatRescue — Revenue &amp; costs ·'!B14,"")</f>
        <v>74.19</v>
      </c>
      <c r="C20" s="8">
        <f>IFERROR('NeatRescue — Revenue &amp; costs ·'!C47/'NeatRescue — Revenue &amp; costs ·'!C14,"")</f>
        <v>74.19</v>
      </c>
      <c r="D20" s="8">
        <f>IFERROR('NeatRescue — Revenue &amp; costs ·'!D47/'NeatRescue — Revenue &amp; costs ·'!D14,"")</f>
        <v>74.19</v>
      </c>
      <c r="E20" s="8">
        <f>IFERROR('NeatRescue — Revenue &amp; costs ·'!E47/'NeatRescue — Revenue &amp; costs ·'!E14,"")</f>
        <v>74.19</v>
      </c>
      <c r="F20" s="8">
        <f>IFERROR('NeatRescue — Revenue &amp; costs ·'!F47/'NeatRescue — Revenue &amp; costs ·'!F14,"")</f>
        <v>74.19</v>
      </c>
      <c r="G20" s="8">
        <f>IFERROR('NeatRescue — Revenue &amp; costs ·'!G47/'NeatRescue — Revenue &amp; costs ·'!G14,"")</f>
        <v>74.19000000000001</v>
      </c>
      <c r="H20" s="8">
        <f>IFERROR('NeatRescue — Revenue &amp; costs ·'!H47/'NeatRescue — Revenue &amp; costs ·'!H14,"")</f>
        <v>74.19</v>
      </c>
      <c r="I20" s="8">
        <f>IFERROR('NeatRescue — Revenue &amp; costs ·'!I47/'NeatRescue — Revenue &amp; costs ·'!I14,"")</f>
        <v>74.19</v>
      </c>
      <c r="J20" s="8">
        <f>IFERROR('NeatRescue — Revenue &amp; costs ·'!J47/'NeatRescue — Revenue &amp; costs ·'!J14,"")</f>
        <v>74.19</v>
      </c>
      <c r="K20" s="8">
        <f>IFERROR('NeatRescue — Revenue &amp; costs ·'!K47/'NeatRescue — Revenue &amp; costs ·'!K14,"")</f>
        <v>74.19</v>
      </c>
      <c r="L20" s="8">
        <f>IFERROR('NeatRescue — Revenue &amp; costs ·'!L47/'NeatRescue — Revenue &amp; costs ·'!L14,"")</f>
        <v>74.19</v>
      </c>
      <c r="M20" s="8">
        <f>IFERROR('NeatRescue — Revenue &amp; costs ·'!M47/'NeatRescue — Revenue &amp; costs ·'!M14,"")</f>
        <v>74.18999999999998</v>
      </c>
    </row>
    <row r="21">
      <c r="A21" t="inlineStr" s="5">
        <is>
          <t xml:space="preserve">Break-even customers</t>
        </is>
      </c>
      <c r="B21" s="22">
        <f>IF(IF(IF(ISERROR('NeatRescue — Cash &amp; scenarios ·'!B20&gt;0),'NeatRescue — Cash &amp; scenarios ·'!B20&gt;0,IF('NeatRescue — Cash &amp; scenarios ·'!B20="","",'NeatRescue — Cash &amp; scenarios ·'!B20&gt;0))="",FALSE,IF(ISERROR('NeatRescue — Cash &amp; scenarios ·'!B20&gt;0),'NeatRescue — Cash &amp; scenarios ·'!B20&gt;0,IF('NeatRescue — Cash &amp; scenarios ·'!B20="","",'NeatRescue — Cash &amp; scenarios ·'!B20&gt;0))),CEILING(('NeatRescue — Cash &amp; scenarios ·'!B5+'NeatRescue — Cash &amp; scenarios ·'!B9+'NeatRescue — Cash &amp; scenarios ·'!B10+'NeatRescue — Cash &amp; scenarios ·'!B11)/'NeatRescue — Cash &amp; scenarios ·'!B20,1),"")</f>
        <v>7</v>
      </c>
      <c r="C21" s="22">
        <f>IF(IF(IF(ISERROR('NeatRescue — Cash &amp; scenarios ·'!C20&gt;0),'NeatRescue — Cash &amp; scenarios ·'!C20&gt;0,IF('NeatRescue — Cash &amp; scenarios ·'!C20="","",'NeatRescue — Cash &amp; scenarios ·'!C20&gt;0))="",FALSE,IF(ISERROR('NeatRescue — Cash &amp; scenarios ·'!C20&gt;0),'NeatRescue — Cash &amp; scenarios ·'!C20&gt;0,IF('NeatRescue — Cash &amp; scenarios ·'!C20="","",'NeatRescue — Cash &amp; scenarios ·'!C20&gt;0))),CEILING(('NeatRescue — Cash &amp; scenarios ·'!C5+'NeatRescue — Cash &amp; scenarios ·'!C9+'NeatRescue — Cash &amp; scenarios ·'!C10+'NeatRescue — Cash &amp; scenarios ·'!C11)/'NeatRescue — Cash &amp; scenarios ·'!C20,1),"")</f>
        <v>7</v>
      </c>
      <c r="D21" s="22">
        <f>IF(IF(IF(ISERROR('NeatRescue — Cash &amp; scenarios ·'!D20&gt;0),'NeatRescue — Cash &amp; scenarios ·'!D20&gt;0,IF('NeatRescue — Cash &amp; scenarios ·'!D20="","",'NeatRescue — Cash &amp; scenarios ·'!D20&gt;0))="",FALSE,IF(ISERROR('NeatRescue — Cash &amp; scenarios ·'!D20&gt;0),'NeatRescue — Cash &amp; scenarios ·'!D20&gt;0,IF('NeatRescue — Cash &amp; scenarios ·'!D20="","",'NeatRescue — Cash &amp; scenarios ·'!D20&gt;0))),CEILING(('NeatRescue — Cash &amp; scenarios ·'!D5+'NeatRescue — Cash &amp; scenarios ·'!D9+'NeatRescue — Cash &amp; scenarios ·'!D10+'NeatRescue — Cash &amp; scenarios ·'!D11)/'NeatRescue — Cash &amp; scenarios ·'!D20,1),"")</f>
        <v>7</v>
      </c>
      <c r="E21" s="22">
        <f>IF(IF(IF(ISERROR('NeatRescue — Cash &amp; scenarios ·'!E20&gt;0),'NeatRescue — Cash &amp; scenarios ·'!E20&gt;0,IF('NeatRescue — Cash &amp; scenarios ·'!E20="","",'NeatRescue — Cash &amp; scenarios ·'!E20&gt;0))="",FALSE,IF(ISERROR('NeatRescue — Cash &amp; scenarios ·'!E20&gt;0),'NeatRescue — Cash &amp; scenarios ·'!E20&gt;0,IF('NeatRescue — Cash &amp; scenarios ·'!E20="","",'NeatRescue — Cash &amp; scenarios ·'!E20&gt;0))),CEILING(('NeatRescue — Cash &amp; scenarios ·'!E5+'NeatRescue — Cash &amp; scenarios ·'!E9+'NeatRescue — Cash &amp; scenarios ·'!E10+'NeatRescue — Cash &amp; scenarios ·'!E11)/'NeatRescue — Cash &amp; scenarios ·'!E20,1),"")</f>
        <v>7</v>
      </c>
      <c r="F21" s="22">
        <f>IF(IF(IF(ISERROR('NeatRescue — Cash &amp; scenarios ·'!F20&gt;0),'NeatRescue — Cash &amp; scenarios ·'!F20&gt;0,IF('NeatRescue — Cash &amp; scenarios ·'!F20="","",'NeatRescue — Cash &amp; scenarios ·'!F20&gt;0))="",FALSE,IF(ISERROR('NeatRescue — Cash &amp; scenarios ·'!F20&gt;0),'NeatRescue — Cash &amp; scenarios ·'!F20&gt;0,IF('NeatRescue — Cash &amp; scenarios ·'!F20="","",'NeatRescue — Cash &amp; scenarios ·'!F20&gt;0))),CEILING(('NeatRescue — Cash &amp; scenarios ·'!F5+'NeatRescue — Cash &amp; scenarios ·'!F9+'NeatRescue — Cash &amp; scenarios ·'!F10+'NeatRescue — Cash &amp; scenarios ·'!F11)/'NeatRescue — Cash &amp; scenarios ·'!F20,1),"")</f>
        <v>7</v>
      </c>
      <c r="G21" s="22">
        <f>IF(IF(IF(ISERROR('NeatRescue — Cash &amp; scenarios ·'!G20&gt;0),'NeatRescue — Cash &amp; scenarios ·'!G20&gt;0,IF('NeatRescue — Cash &amp; scenarios ·'!G20="","",'NeatRescue — Cash &amp; scenarios ·'!G20&gt;0))="",FALSE,IF(ISERROR('NeatRescue — Cash &amp; scenarios ·'!G20&gt;0),'NeatRescue — Cash &amp; scenarios ·'!G20&gt;0,IF('NeatRescue — Cash &amp; scenarios ·'!G20="","",'NeatRescue — Cash &amp; scenarios ·'!G20&gt;0))),CEILING(('NeatRescue — Cash &amp; scenarios ·'!G5+'NeatRescue — Cash &amp; scenarios ·'!G9+'NeatRescue — Cash &amp; scenarios ·'!G10+'NeatRescue — Cash &amp; scenarios ·'!G11)/'NeatRescue — Cash &amp; scenarios ·'!G20,1),"")</f>
        <v>7</v>
      </c>
      <c r="H21" s="22">
        <f>IF(IF(IF(ISERROR('NeatRescue — Cash &amp; scenarios ·'!H20&gt;0),'NeatRescue — Cash &amp; scenarios ·'!H20&gt;0,IF('NeatRescue — Cash &amp; scenarios ·'!H20="","",'NeatRescue — Cash &amp; scenarios ·'!H20&gt;0))="",FALSE,IF(ISERROR('NeatRescue — Cash &amp; scenarios ·'!H20&gt;0),'NeatRescue — Cash &amp; scenarios ·'!H20&gt;0,IF('NeatRescue — Cash &amp; scenarios ·'!H20="","",'NeatRescue — Cash &amp; scenarios ·'!H20&gt;0))),CEILING(('NeatRescue — Cash &amp; scenarios ·'!H5+'NeatRescue — Cash &amp; scenarios ·'!H9+'NeatRescue — Cash &amp; scenarios ·'!H10+'NeatRescue — Cash &amp; scenarios ·'!H11)/'NeatRescue — Cash &amp; scenarios ·'!H20,1),"")</f>
        <v>7</v>
      </c>
      <c r="I21" s="22">
        <f>IF(IF(IF(ISERROR('NeatRescue — Cash &amp; scenarios ·'!I20&gt;0),'NeatRescue — Cash &amp; scenarios ·'!I20&gt;0,IF('NeatRescue — Cash &amp; scenarios ·'!I20="","",'NeatRescue — Cash &amp; scenarios ·'!I20&gt;0))="",FALSE,IF(ISERROR('NeatRescue — Cash &amp; scenarios ·'!I20&gt;0),'NeatRescue — Cash &amp; scenarios ·'!I20&gt;0,IF('NeatRescue — Cash &amp; scenarios ·'!I20="","",'NeatRescue — Cash &amp; scenarios ·'!I20&gt;0))),CEILING(('NeatRescue — Cash &amp; scenarios ·'!I5+'NeatRescue — Cash &amp; scenarios ·'!I9+'NeatRescue — Cash &amp; scenarios ·'!I10+'NeatRescue — Cash &amp; scenarios ·'!I11)/'NeatRescue — Cash &amp; scenarios ·'!I20,1),"")</f>
        <v>7</v>
      </c>
      <c r="J21" s="22">
        <f>IF(IF(IF(ISERROR('NeatRescue — Cash &amp; scenarios ·'!J20&gt;0),'NeatRescue — Cash &amp; scenarios ·'!J20&gt;0,IF('NeatRescue — Cash &amp; scenarios ·'!J20="","",'NeatRescue — Cash &amp; scenarios ·'!J20&gt;0))="",FALSE,IF(ISERROR('NeatRescue — Cash &amp; scenarios ·'!J20&gt;0),'NeatRescue — Cash &amp; scenarios ·'!J20&gt;0,IF('NeatRescue — Cash &amp; scenarios ·'!J20="","",'NeatRescue — Cash &amp; scenarios ·'!J20&gt;0))),CEILING(('NeatRescue — Cash &amp; scenarios ·'!J5+'NeatRescue — Cash &amp; scenarios ·'!J9+'NeatRescue — Cash &amp; scenarios ·'!J10+'NeatRescue — Cash &amp; scenarios ·'!J11)/'NeatRescue — Cash &amp; scenarios ·'!J20,1),"")</f>
        <v>7</v>
      </c>
      <c r="K21" s="22">
        <f>IF(IF(IF(ISERROR('NeatRescue — Cash &amp; scenarios ·'!K20&gt;0),'NeatRescue — Cash &amp; scenarios ·'!K20&gt;0,IF('NeatRescue — Cash &amp; scenarios ·'!K20="","",'NeatRescue — Cash &amp; scenarios ·'!K20&gt;0))="",FALSE,IF(ISERROR('NeatRescue — Cash &amp; scenarios ·'!K20&gt;0),'NeatRescue — Cash &amp; scenarios ·'!K20&gt;0,IF('NeatRescue — Cash &amp; scenarios ·'!K20="","",'NeatRescue — Cash &amp; scenarios ·'!K20&gt;0))),CEILING(('NeatRescue — Cash &amp; scenarios ·'!K5+'NeatRescue — Cash &amp; scenarios ·'!K9+'NeatRescue — Cash &amp; scenarios ·'!K10+'NeatRescue — Cash &amp; scenarios ·'!K11)/'NeatRescue — Cash &amp; scenarios ·'!K20,1),"")</f>
        <v>7</v>
      </c>
      <c r="L21" s="22">
        <f>IF(IF(IF(ISERROR('NeatRescue — Cash &amp; scenarios ·'!L20&gt;0),'NeatRescue — Cash &amp; scenarios ·'!L20&gt;0,IF('NeatRescue — Cash &amp; scenarios ·'!L20="","",'NeatRescue — Cash &amp; scenarios ·'!L20&gt;0))="",FALSE,IF(ISERROR('NeatRescue — Cash &amp; scenarios ·'!L20&gt;0),'NeatRescue — Cash &amp; scenarios ·'!L20&gt;0,IF('NeatRescue — Cash &amp; scenarios ·'!L20="","",'NeatRescue — Cash &amp; scenarios ·'!L20&gt;0))),CEILING(('NeatRescue — Cash &amp; scenarios ·'!L5+'NeatRescue — Cash &amp; scenarios ·'!L9+'NeatRescue — Cash &amp; scenarios ·'!L10+'NeatRescue — Cash &amp; scenarios ·'!L11)/'NeatRescue — Cash &amp; scenarios ·'!L20,1),"")</f>
        <v>7</v>
      </c>
      <c r="M21" s="22">
        <f>IF(IF(IF(ISERROR('NeatRescue — Cash &amp; scenarios ·'!M20&gt;0),'NeatRescue — Cash &amp; scenarios ·'!M20&gt;0,IF('NeatRescue — Cash &amp; scenarios ·'!M20="","",'NeatRescue — Cash &amp; scenarios ·'!M20&gt;0))="",FALSE,IF(ISERROR('NeatRescue — Cash &amp; scenarios ·'!M20&gt;0),'NeatRescue — Cash &amp; scenarios ·'!M20&gt;0,IF('NeatRescue — Cash &amp; scenarios ·'!M20="","",'NeatRescue — Cash &amp; scenarios ·'!M20&gt;0))),CEILING(('NeatRescue — Cash &amp; scenarios ·'!M5+'NeatRescue — Cash &amp; scenarios ·'!M9+'NeatRescue — Cash &amp; scenarios ·'!M10+'NeatRescue — Cash &amp; scenarios ·'!M11)/'NeatRescue — Cash &amp; scenarios ·'!M20,1),"")</f>
        <v>7</v>
      </c>
    </row>
  </sheetData>
  <mergeCells count="1">
    <mergeCell ref="A1:M1"/>
  </mergeCells>
</worksheet>
</file>

<file path=xl/worksheets/sheet9.xml><?xml version="1.0" encoding="utf-8"?>
<worksheet xmlns="http://schemas.openxmlformats.org/spreadsheetml/2006/main">
  <dimension ref="A1:M1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NeatRescue — Cash &amp; scenarios · Monthly cash — actual-zero and hypothetical bootstrap cases</t>
        </is>
      </c>
    </row>
    <row r="2" ht="20" customHeight="1">
      <c r="A2" t="inlineStr" s="2">
        <is>
          <t xml:space="preserve">Financial model (5 pages) · Main Scenario</t>
        </is>
      </c>
    </row>
    <row r="4" ht="22" customHeight="1">
      <c r="A4" t="inlineStr" s="3">
        <is>
          <t xml:space="preserve">Variable / dimension</t>
        </is>
      </c>
      <c r="B4" t="inlineStr" s="15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5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5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5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</row>
    <row r="5">
      <c r="A5" t="inlineStr" s="5">
        <is>
          <t xml:space="preserve">Closing cash</t>
        </is>
      </c>
      <c r="B5" s="16">
        <f>IF(IF(DATE(2026,10,1)=DATE(2026,10,1),IF('NeatRescue — Assumptions &amp; simu'!B17="","",'NeatRescue — Assumptions &amp; simu'!B17),IF('Model inputs'!C11="","",'Model inputs'!C11))="",0,IF(DATE(2026,10,1)=DATE(2026,10,1),IF('NeatRescue — Assumptions &amp; simu'!B17="","",'NeatRescue — Assumptions &amp; simu'!B17),IF('Model inputs'!C11="","",'Model inputs'!C11)))+'NeatRescue — Cash &amp; scenarios ·'!B15</f>
        <v>-427.43</v>
      </c>
      <c r="C5" s="16">
        <f>IF(IF(DATE(2026,11,1)=DATE(2026,10,1),IF('NeatRescue — Assumptions &amp; simu'!B17="","",'NeatRescue — Assumptions &amp; simu'!B17),IF('NeatRescue — Cash &amp; scenari (2)'!B5="","",'NeatRescue — Cash &amp; scenari (2)'!B5))="",0,IF(DATE(2026,11,1)=DATE(2026,10,1),IF('NeatRescue — Assumptions &amp; simu'!B17="","",'NeatRescue — Assumptions &amp; simu'!B17),IF('NeatRescue — Cash &amp; scenari (2)'!B5="","",'NeatRescue — Cash &amp; scenari (2)'!B5)))+'NeatRescue — Cash &amp; scenarios ·'!C15</f>
        <v>-421.1615</v>
      </c>
      <c r="D5" s="16">
        <f>IF(IF(DATE(2026,12,1)=DATE(2026,10,1),IF('NeatRescue — Assumptions &amp; simu'!B17="","",'NeatRescue — Assumptions &amp; simu'!B17),IF('NeatRescue — Cash &amp; scenari (2)'!C5="","",'NeatRescue — Cash &amp; scenari (2)'!C5))="",0,IF(DATE(2026,12,1)=DATE(2026,10,1),IF('NeatRescue — Assumptions &amp; simu'!B17="","",'NeatRescue — Assumptions &amp; simu'!B17),IF('NeatRescue — Cash &amp; scenari (2)'!C5="","",'NeatRescue — Cash &amp; scenari (2)'!C5)))+'NeatRescue — Cash &amp; scenarios ·'!D15</f>
        <v>-168.3967249999999</v>
      </c>
      <c r="E5" s="16">
        <f>IF(IF(DATE(2027,1,1)=DATE(2026,10,1),IF('NeatRescue — Assumptions &amp; simu'!B17="","",'NeatRescue — Assumptions &amp; simu'!B17),IF('NeatRescue — Cash &amp; scenari (2)'!D5="","",'NeatRescue — Cash &amp; scenari (2)'!D5))="",0,IF(DATE(2027,1,1)=DATE(2026,10,1),IF('NeatRescue — Assumptions &amp; simu'!B17="","",'NeatRescue — Assumptions &amp; simu'!B17),IF('NeatRescue — Cash &amp; scenari (2)'!D5="","",'NeatRescue — Cash &amp; scenari (2)'!D5)))+'NeatRescue — Cash &amp; scenarios ·'!E15</f>
        <v>345.47048125000043</v>
      </c>
      <c r="F5" s="16">
        <f>IF(IF(DATE(2027,2,1)=DATE(2026,10,1),IF('NeatRescue — Assumptions &amp; simu'!B17="","",'NeatRescue — Assumptions &amp; simu'!B17),IF('NeatRescue — Cash &amp; scenari (2)'!E5="","",'NeatRescue — Cash &amp; scenari (2)'!E5))="",0,IF(DATE(2027,2,1)=DATE(2026,10,1),IF('NeatRescue — Assumptions &amp; simu'!B17="","",'NeatRescue — Assumptions &amp; simu'!B17),IF('NeatRescue — Cash &amp; scenari (2)'!E5="","",'NeatRescue — Cash &amp; scenari (2)'!E5)))+'NeatRescue — Cash &amp; scenarios ·'!F15</f>
        <v>1137.0090641875008</v>
      </c>
      <c r="G5" s="16">
        <f>IF(IF(DATE(2027,3,1)=DATE(2026,10,1),IF('NeatRescue — Assumptions &amp; simu'!B17="","",'NeatRescue — Assumptions &amp; simu'!B17),IF('NeatRescue — Cash &amp; scenari (2)'!F5="","",'NeatRescue — Cash &amp; scenari (2)'!F5))="",0,IF(DATE(2027,3,1)=DATE(2026,10,1),IF('NeatRescue — Assumptions &amp; simu'!B17="","",'NeatRescue — Assumptions &amp; simu'!B17),IF('NeatRescue — Cash &amp; scenari (2)'!F5="","",'NeatRescue — Cash &amp; scenari (2)'!F5)))+'NeatRescue — Cash &amp; scenarios ·'!G15</f>
        <v>2224.9219286781263</v>
      </c>
      <c r="H5" s="16">
        <f>IF(IF(DATE(2027,4,1)=DATE(2026,10,1),IF('NeatRescue — Assumptions &amp; simu'!B17="","",'NeatRescue — Assumptions &amp; simu'!B17),IF('NeatRescue — Cash &amp; scenari (2)'!G5="","",'NeatRescue — Cash &amp; scenari (2)'!G5))="",0,IF(DATE(2027,4,1)=DATE(2026,10,1),IF('NeatRescue — Assumptions &amp; simu'!B17="","",'NeatRescue — Assumptions &amp; simu'!B17),IF('NeatRescue — Cash &amp; scenari (2)'!G5="","",'NeatRescue — Cash &amp; scenari (2)'!G5)))+'NeatRescue — Cash &amp; scenarios ·'!H15</f>
        <v>3630.2354817142204</v>
      </c>
      <c r="I5" s="16">
        <f>IF(IF(DATE(2027,5,1)=DATE(2026,10,1),IF('NeatRescue — Assumptions &amp; simu'!B17="","",'NeatRescue — Assumptions &amp; simu'!B17),IF('NeatRescue — Cash &amp; scenari (2)'!H5="","",'NeatRescue — Cash &amp; scenari (2)'!H5))="",0,IF(DATE(2027,5,1)=DATE(2026,10,1),IF('NeatRescue — Assumptions &amp; simu'!B17="","",'NeatRescue — Assumptions &amp; simu'!B17),IF('NeatRescue — Cash &amp; scenari (2)'!H5="","",'NeatRescue — Cash &amp; scenari (2)'!H5)))+'NeatRescue — Cash &amp; scenarios ·'!I15</f>
        <v>5376.509322045511</v>
      </c>
      <c r="J5" s="16">
        <f>IF(IF(DATE(2027,6,1)=DATE(2026,10,1),IF('NeatRescue — Assumptions &amp; simu'!B17="","",'NeatRescue — Assumptions &amp; simu'!B17),IF('NeatRescue — Cash &amp; scenari (2)'!I5="","",'NeatRescue — Cash &amp; scenari (2)'!I5))="",0,IF(DATE(2027,6,1)=DATE(2026,10,1),IF('NeatRescue — Assumptions &amp; simu'!B17="","",'NeatRescue — Assumptions &amp; simu'!B17),IF('NeatRescue — Cash &amp; scenari (2)'!I5="","",'NeatRescue — Cash &amp; scenari (2)'!I5)))+'NeatRescue — Cash &amp; scenarios ·'!J15</f>
        <v>7490.068031801937</v>
      </c>
      <c r="K5" s="16">
        <f>IF(IF(DATE(2027,7,1)=DATE(2026,10,1),IF('NeatRescue — Assumptions &amp; simu'!B17="","",'NeatRescue — Assumptions &amp; simu'!B17),IF('NeatRescue — Cash &amp; scenari (2)'!J5="","",'NeatRescue — Cash &amp; scenari (2)'!J5))="",0,IF(DATE(2027,7,1)=DATE(2026,10,1),IF('NeatRescue — Assumptions &amp; simu'!B17="","",'NeatRescue — Assumptions &amp; simu'!B17),IF('NeatRescue — Cash &amp; scenari (2)'!J5="","",'NeatRescue — Cash &amp; scenari (2)'!J5)))+'NeatRescue — Cash &amp; scenarios ·'!K15</f>
        <v>10000.257223656412</v>
      </c>
      <c r="L5" s="16">
        <f>IF(IF(DATE(2027,8,1)=DATE(2026,10,1),IF('NeatRescue — Assumptions &amp; simu'!B17="","",'NeatRescue — Assumptions &amp; simu'!B17),IF('NeatRescue — Cash &amp; scenari (2)'!K5="","",'NeatRescue — Cash &amp; scenari (2)'!K5))="",0,IF(DATE(2027,8,1)=DATE(2026,10,1),IF('NeatRescue — Assumptions &amp; simu'!B17="","",'NeatRescue — Assumptions &amp; simu'!B17),IF('NeatRescue — Cash &amp; scenari (2)'!K5="","",'NeatRescue — Cash &amp; scenari (2)'!K5)))+'NeatRescue — Cash &amp; scenarios ·'!L15</f>
        <v>12939.72621526262</v>
      </c>
      <c r="M5" s="16">
        <f>IF(IF(DATE(2027,9,1)=DATE(2026,10,1),IF('NeatRescue — Assumptions &amp; simu'!B17="","",'NeatRescue — Assumptions &amp; simu'!B17),IF('NeatRescue — Cash &amp; scenari (2)'!L5="","",'NeatRescue — Cash &amp; scenari (2)'!L5))="",0,IF(DATE(2027,9,1)=DATE(2026,10,1),IF('NeatRescue — Assumptions &amp; simu'!B17="","",'NeatRescue — Assumptions &amp; simu'!B17),IF('NeatRescue — Cash &amp; scenari (2)'!L5="","",'NeatRescue — Cash &amp; scenari (2)'!L5)))+'NeatRescue — Cash &amp; scenarios ·'!M15</f>
        <v>16344.739942567423</v>
      </c>
    </row>
    <row r="6">
      <c r="A6" t="inlineStr" s="7">
        <is>
          <t xml:space="preserve">Closing cash &gt; Bootstrap $5,000 — hypothetical</t>
        </is>
      </c>
      <c r="B6" s="8">
        <f>IF(IF(DATE(2026,10,1)=DATE(2026,10,1),IF('Model inputs'!O47="","",'Model inputs'!O47),IF('Model inputs'!C14="","",'Model inputs'!C14))="",0,IF(DATE(2026,10,1)=DATE(2026,10,1),IF('Model inputs'!O47="","",'Model inputs'!O47),IF('Model inputs'!C14="","",'Model inputs'!C14)))+'Model inputs'!D44</f>
        <v>4572.57</v>
      </c>
      <c r="C6" s="8">
        <f>IF(IF(DATE(2026,11,1)=DATE(2026,10,1),IF('Model inputs'!O47="","",'Model inputs'!O47),IF('NeatRescue — Cash &amp; scenari (2)'!B6="","",'NeatRescue — Cash &amp; scenari (2)'!B6))="",0,IF(DATE(2026,11,1)=DATE(2026,10,1),IF('Model inputs'!O47="","",'Model inputs'!O47),IF('NeatRescue — Cash &amp; scenari (2)'!B6="","",'NeatRescue — Cash &amp; scenari (2)'!B6)))+'Model inputs'!E44</f>
        <v>4578.8385</v>
      </c>
      <c r="D6" s="8">
        <f>IF(IF(DATE(2026,12,1)=DATE(2026,10,1),IF('Model inputs'!O47="","",'Model inputs'!O47),IF('NeatRescue — Cash &amp; scenari (2)'!C6="","",'NeatRescue — Cash &amp; scenari (2)'!C6))="",0,IF(DATE(2026,12,1)=DATE(2026,10,1),IF('Model inputs'!O47="","",'Model inputs'!O47),IF('NeatRescue — Cash &amp; scenari (2)'!C6="","",'NeatRescue — Cash &amp; scenari (2)'!C6)))+'Model inputs'!F44</f>
        <v>4831.6032749999995</v>
      </c>
      <c r="E6" s="8">
        <f>IF(IF(DATE(2027,1,1)=DATE(2026,10,1),IF('Model inputs'!O47="","",'Model inputs'!O47),IF('NeatRescue — Cash &amp; scenari (2)'!D6="","",'NeatRescue — Cash &amp; scenari (2)'!D6))="",0,IF(DATE(2027,1,1)=DATE(2026,10,1),IF('Model inputs'!O47="","",'Model inputs'!O47),IF('NeatRescue — Cash &amp; scenari (2)'!D6="","",'NeatRescue — Cash &amp; scenari (2)'!D6)))+'Model inputs'!G44</f>
        <v>5345.4704812499995</v>
      </c>
      <c r="F6" s="8">
        <f>IF(IF(DATE(2027,2,1)=DATE(2026,10,1),IF('Model inputs'!O47="","",'Model inputs'!O47),IF('NeatRescue — Cash &amp; scenari (2)'!E6="","",'NeatRescue — Cash &amp; scenari (2)'!E6))="",0,IF(DATE(2027,2,1)=DATE(2026,10,1),IF('Model inputs'!O47="","",'Model inputs'!O47),IF('NeatRescue — Cash &amp; scenari (2)'!E6="","",'NeatRescue — Cash &amp; scenari (2)'!E6)))+'Model inputs'!H44</f>
        <v>6137.0090641874995</v>
      </c>
      <c r="G6" s="8">
        <f>IF(IF(DATE(2027,3,1)=DATE(2026,10,1),IF('Model inputs'!O47="","",'Model inputs'!O47),IF('NeatRescue — Cash &amp; scenari (2)'!F6="","",'NeatRescue — Cash &amp; scenari (2)'!F6))="",0,IF(DATE(2027,3,1)=DATE(2026,10,1),IF('Model inputs'!O47="","",'Model inputs'!O47),IF('NeatRescue — Cash &amp; scenari (2)'!F6="","",'NeatRescue — Cash &amp; scenari (2)'!F6)))+'Model inputs'!I44</f>
        <v>7224.921928678125</v>
      </c>
      <c r="H6" s="8">
        <f>IF(IF(DATE(2027,4,1)=DATE(2026,10,1),IF('Model inputs'!O47="","",'Model inputs'!O47),IF('NeatRescue — Cash &amp; scenari (2)'!G6="","",'NeatRescue — Cash &amp; scenari (2)'!G6))="",0,IF(DATE(2027,4,1)=DATE(2026,10,1),IF('Model inputs'!O47="","",'Model inputs'!O47),IF('NeatRescue — Cash &amp; scenari (2)'!G6="","",'NeatRescue — Cash &amp; scenari (2)'!G6)))+'Model inputs'!J44</f>
        <v>8630.235481714219</v>
      </c>
      <c r="I6" s="8">
        <f>IF(IF(DATE(2027,5,1)=DATE(2026,10,1),IF('Model inputs'!O47="","",'Model inputs'!O47),IF('NeatRescue — Cash &amp; scenari (2)'!H6="","",'NeatRescue — Cash &amp; scenari (2)'!H6))="",0,IF(DATE(2027,5,1)=DATE(2026,10,1),IF('Model inputs'!O47="","",'Model inputs'!O47),IF('NeatRescue — Cash &amp; scenari (2)'!H6="","",'NeatRescue — Cash &amp; scenari (2)'!H6)))+'Model inputs'!K44</f>
        <v>10376.50932204551</v>
      </c>
      <c r="J6" s="8">
        <f>IF(IF(DATE(2027,6,1)=DATE(2026,10,1),IF('Model inputs'!O47="","",'Model inputs'!O47),IF('NeatRescue — Cash &amp; scenari (2)'!I6="","",'NeatRescue — Cash &amp; scenari (2)'!I6))="",0,IF(DATE(2027,6,1)=DATE(2026,10,1),IF('Model inputs'!O47="","",'Model inputs'!O47),IF('NeatRescue — Cash &amp; scenari (2)'!I6="","",'NeatRescue — Cash &amp; scenari (2)'!I6)))+'Model inputs'!L44</f>
        <v>12490.068031801935</v>
      </c>
      <c r="K6" s="8">
        <f>IF(IF(DATE(2027,7,1)=DATE(2026,10,1),IF('Model inputs'!O47="","",'Model inputs'!O47),IF('NeatRescue — Cash &amp; scenari (2)'!J6="","",'NeatRescue — Cash &amp; scenari (2)'!J6))="",0,IF(DATE(2027,7,1)=DATE(2026,10,1),IF('Model inputs'!O47="","",'Model inputs'!O47),IF('NeatRescue — Cash &amp; scenari (2)'!J6="","",'NeatRescue — Cash &amp; scenari (2)'!J6)))+'Model inputs'!M44</f>
        <v>15000.25722365641</v>
      </c>
      <c r="L6" s="8">
        <f>IF(IF(DATE(2027,8,1)=DATE(2026,10,1),IF('Model inputs'!O47="","",'Model inputs'!O47),IF('NeatRescue — Cash &amp; scenari (2)'!K6="","",'NeatRescue — Cash &amp; scenari (2)'!K6))="",0,IF(DATE(2027,8,1)=DATE(2026,10,1),IF('Model inputs'!O47="","",'Model inputs'!O47),IF('NeatRescue — Cash &amp; scenari (2)'!K6="","",'NeatRescue — Cash &amp; scenari (2)'!K6)))+'Model inputs'!N44</f>
        <v>17939.72621526262</v>
      </c>
      <c r="M6" s="8">
        <f>IF(IF(DATE(2027,9,1)=DATE(2026,10,1),IF('Model inputs'!O47="","",'Model inputs'!O47),IF('NeatRescue — Cash &amp; scenari (2)'!L6="","",'NeatRescue — Cash &amp; scenari (2)'!L6))="",0,IF(DATE(2027,9,1)=DATE(2026,10,1),IF('Model inputs'!O47="","",'Model inputs'!O47),IF('NeatRescue — Cash &amp; scenari (2)'!L6="","",'NeatRescue — Cash &amp; scenari (2)'!L6)))+'Model inputs'!B44</f>
        <v>21344.739942567423</v>
      </c>
    </row>
    <row r="7">
      <c r="A7" t="inlineStr" s="7">
        <is>
          <t xml:space="preserve">Closing cash &gt; Bootstrap no-sales stress — hypothetical</t>
        </is>
      </c>
      <c r="B7" s="8">
        <f>IF(IF(DATE(2026,10,1)=DATE(2026,10,1),IF('Model inputs'!O46="","",'Model inputs'!O46),IF('Model inputs'!C12="","",'Model inputs'!C12))="",0,IF(DATE(2026,10,1)=DATE(2026,10,1),IF('Model inputs'!O46="","",'Model inputs'!O46),IF('Model inputs'!C12="","",'Model inputs'!C12)))+'Model inputs'!D43</f>
        <v>4350</v>
      </c>
      <c r="C7" s="8">
        <f>IF(IF(DATE(2026,11,1)=DATE(2026,10,1),IF('Model inputs'!O46="","",'Model inputs'!O46),IF('NeatRescue — Cash &amp; scenari (2)'!B7="","",'NeatRescue — Cash &amp; scenari (2)'!B7))="",0,IF(DATE(2026,11,1)=DATE(2026,10,1),IF('Model inputs'!O46="","",'Model inputs'!O46),IF('NeatRescue — Cash &amp; scenari (2)'!B7="","",'NeatRescue — Cash &amp; scenari (2)'!B7)))+'Model inputs'!E43</f>
        <v>3900</v>
      </c>
      <c r="D7" s="8">
        <f>IF(IF(DATE(2026,12,1)=DATE(2026,10,1),IF('Model inputs'!O46="","",'Model inputs'!O46),IF('NeatRescue — Cash &amp; scenari (2)'!C7="","",'NeatRescue — Cash &amp; scenari (2)'!C7))="",0,IF(DATE(2026,12,1)=DATE(2026,10,1),IF('Model inputs'!O46="","",'Model inputs'!O46),IF('NeatRescue — Cash &amp; scenari (2)'!C7="","",'NeatRescue — Cash &amp; scenari (2)'!C7)))+'Model inputs'!F43</f>
        <v>3450</v>
      </c>
      <c r="E7" s="8">
        <f>IF(IF(DATE(2027,1,1)=DATE(2026,10,1),IF('Model inputs'!O46="","",'Model inputs'!O46),IF('NeatRescue — Cash &amp; scenari (2)'!D7="","",'NeatRescue — Cash &amp; scenari (2)'!D7))="",0,IF(DATE(2027,1,1)=DATE(2026,10,1),IF('Model inputs'!O46="","",'Model inputs'!O46),IF('NeatRescue — Cash &amp; scenari (2)'!D7="","",'NeatRescue — Cash &amp; scenari (2)'!D7)))+'Model inputs'!G43</f>
        <v>3000</v>
      </c>
      <c r="F7" s="8">
        <f>IF(IF(DATE(2027,2,1)=DATE(2026,10,1),IF('Model inputs'!O46="","",'Model inputs'!O46),IF('NeatRescue — Cash &amp; scenari (2)'!E7="","",'NeatRescue — Cash &amp; scenari (2)'!E7))="",0,IF(DATE(2027,2,1)=DATE(2026,10,1),IF('Model inputs'!O46="","",'Model inputs'!O46),IF('NeatRescue — Cash &amp; scenari (2)'!E7="","",'NeatRescue — Cash &amp; scenari (2)'!E7)))+'Model inputs'!H43</f>
        <v>2550</v>
      </c>
      <c r="G7" s="8">
        <f>IF(IF(DATE(2027,3,1)=DATE(2026,10,1),IF('Model inputs'!O46="","",'Model inputs'!O46),IF('NeatRescue — Cash &amp; scenari (2)'!F7="","",'NeatRescue — Cash &amp; scenari (2)'!F7))="",0,IF(DATE(2027,3,1)=DATE(2026,10,1),IF('Model inputs'!O46="","",'Model inputs'!O46),IF('NeatRescue — Cash &amp; scenari (2)'!F7="","",'NeatRescue — Cash &amp; scenari (2)'!F7)))+'Model inputs'!I43</f>
        <v>2100</v>
      </c>
      <c r="H7" s="8">
        <f>IF(IF(DATE(2027,4,1)=DATE(2026,10,1),IF('Model inputs'!O46="","",'Model inputs'!O46),IF('NeatRescue — Cash &amp; scenari (2)'!G7="","",'NeatRescue — Cash &amp; scenari (2)'!G7))="",0,IF(DATE(2027,4,1)=DATE(2026,10,1),IF('Model inputs'!O46="","",'Model inputs'!O46),IF('NeatRescue — Cash &amp; scenari (2)'!G7="","",'NeatRescue — Cash &amp; scenari (2)'!G7)))+'Model inputs'!J43</f>
        <v>1650</v>
      </c>
      <c r="I7" s="8">
        <f>IF(IF(DATE(2027,5,1)=DATE(2026,10,1),IF('Model inputs'!O46="","",'Model inputs'!O46),IF('NeatRescue — Cash &amp; scenari (2)'!H7="","",'NeatRescue — Cash &amp; scenari (2)'!H7))="",0,IF(DATE(2027,5,1)=DATE(2026,10,1),IF('Model inputs'!O46="","",'Model inputs'!O46),IF('NeatRescue — Cash &amp; scenari (2)'!H7="","",'NeatRescue — Cash &amp; scenari (2)'!H7)))+'Model inputs'!K43</f>
        <v>1200</v>
      </c>
      <c r="J7" s="8">
        <f>IF(IF(DATE(2027,6,1)=DATE(2026,10,1),IF('Model inputs'!O46="","",'Model inputs'!O46),IF('NeatRescue — Cash &amp; scenari (2)'!I7="","",'NeatRescue — Cash &amp; scenari (2)'!I7))="",0,IF(DATE(2027,6,1)=DATE(2026,10,1),IF('Model inputs'!O46="","",'Model inputs'!O46),IF('NeatRescue — Cash &amp; scenari (2)'!I7="","",'NeatRescue — Cash &amp; scenari (2)'!I7)))+'Model inputs'!L43</f>
        <v>750</v>
      </c>
      <c r="K7" s="8">
        <f>IF(IF(DATE(2027,7,1)=DATE(2026,10,1),IF('Model inputs'!O46="","",'Model inputs'!O46),IF('NeatRescue — Cash &amp; scenari (2)'!J7="","",'NeatRescue — Cash &amp; scenari (2)'!J7))="",0,IF(DATE(2027,7,1)=DATE(2026,10,1),IF('Model inputs'!O46="","",'Model inputs'!O46),IF('NeatRescue — Cash &amp; scenari (2)'!J7="","",'NeatRescue — Cash &amp; scenari (2)'!J7)))+'Model inputs'!M43</f>
        <v>300</v>
      </c>
      <c r="L7" s="8">
        <f>IF(IF(DATE(2027,8,1)=DATE(2026,10,1),IF('Model inputs'!O46="","",'Model inputs'!O46),IF('NeatRescue — Cash &amp; scenari (2)'!K7="","",'NeatRescue — Cash &amp; scenari (2)'!K7))="",0,IF(DATE(2027,8,1)=DATE(2026,10,1),IF('Model inputs'!O46="","",'Model inputs'!O46),IF('NeatRescue — Cash &amp; scenari (2)'!K7="","",'NeatRescue — Cash &amp; scenari (2)'!K7)))+'Model inputs'!N43</f>
        <v>-150</v>
      </c>
      <c r="M7" s="8">
        <f>IF(IF(DATE(2027,9,1)=DATE(2026,10,1),IF('Model inputs'!O46="","",'Model inputs'!O46),IF('NeatRescue — Cash &amp; scenari (2)'!L7="","",'NeatRescue — Cash &amp; scenari (2)'!L7))="",0,IF(DATE(2027,9,1)=DATE(2026,10,1),IF('Model inputs'!O46="","",'Model inputs'!O46),IF('NeatRescue — Cash &amp; scenari (2)'!L7="","",'NeatRescue — Cash &amp; scenari (2)'!L7)))+'Model inputs'!B43</f>
        <v>-600</v>
      </c>
    </row>
    <row r="8">
      <c r="A8" t="inlineStr" s="7">
        <is>
          <t xml:space="preserve">Monthly burn</t>
        </is>
      </c>
      <c r="B8" s="8">
        <f>MAX(-'NeatRescue — Cash &amp; scenarios ·'!B15,0)</f>
        <v>427.43</v>
      </c>
      <c r="C8" s="8">
        <f>MAX(-'NeatRescue — Cash &amp; scenarios ·'!C15,0)</f>
        <v>0</v>
      </c>
      <c r="D8" s="8">
        <f>MAX(-'NeatRescue — Cash &amp; scenarios ·'!D15,0)</f>
        <v>0</v>
      </c>
      <c r="E8" s="8">
        <f>MAX(-'NeatRescue — Cash &amp; scenarios ·'!E15,0)</f>
        <v>0</v>
      </c>
      <c r="F8" s="8">
        <f>MAX(-'NeatRescue — Cash &amp; scenarios ·'!F15,0)</f>
        <v>0</v>
      </c>
      <c r="G8" s="8">
        <f>MAX(-'NeatRescue — Cash &amp; scenarios ·'!G15,0)</f>
        <v>0</v>
      </c>
      <c r="H8" s="8">
        <f>MAX(-'NeatRescue — Cash &amp; scenarios ·'!H15,0)</f>
        <v>0</v>
      </c>
      <c r="I8" s="8">
        <f>MAX(-'NeatRescue — Cash &amp; scenarios ·'!I15,0)</f>
        <v>0</v>
      </c>
      <c r="J8" s="8">
        <f>MAX(-'NeatRescue — Cash &amp; scenarios ·'!J15,0)</f>
        <v>0</v>
      </c>
      <c r="K8" s="8">
        <f>MAX(-'NeatRescue — Cash &amp; scenarios ·'!K15,0)</f>
        <v>0</v>
      </c>
      <c r="L8" s="8">
        <f>MAX(-'NeatRescue — Cash &amp; scenarios ·'!L15,0)</f>
        <v>0</v>
      </c>
      <c r="M8" s="8">
        <f>MAX(-'NeatRescue — Cash &amp; scenarios ·'!M15,0)</f>
        <v>0</v>
      </c>
    </row>
    <row r="9">
      <c r="A9" t="inlineStr" s="7">
        <is>
          <t xml:space="preserve">Monthly burn &gt; Bootstrap $5,000 — hypothetical</t>
        </is>
      </c>
      <c r="B9" s="8">
        <f>MAX(-'Model inputs'!D44,0)</f>
        <v>427.43</v>
      </c>
      <c r="C9" s="8">
        <f>MAX(-'Model inputs'!E44,0)</f>
        <v>0</v>
      </c>
      <c r="D9" s="8">
        <f>MAX(-'Model inputs'!F44,0)</f>
        <v>0</v>
      </c>
      <c r="E9" s="8">
        <f>MAX(-'Model inputs'!G44,0)</f>
        <v>0</v>
      </c>
      <c r="F9" s="8">
        <f>MAX(-'Model inputs'!H44,0)</f>
        <v>0</v>
      </c>
      <c r="G9" s="8">
        <f>MAX(-'Model inputs'!I44,0)</f>
        <v>0</v>
      </c>
      <c r="H9" s="8">
        <f>MAX(-'Model inputs'!J44,0)</f>
        <v>0</v>
      </c>
      <c r="I9" s="8">
        <f>MAX(-'Model inputs'!K44,0)</f>
        <v>0</v>
      </c>
      <c r="J9" s="8">
        <f>MAX(-'Model inputs'!L44,0)</f>
        <v>0</v>
      </c>
      <c r="K9" s="8">
        <f>MAX(-'Model inputs'!M44,0)</f>
        <v>0</v>
      </c>
      <c r="L9" s="8">
        <f>MAX(-'Model inputs'!N44,0)</f>
        <v>0</v>
      </c>
      <c r="M9" s="8">
        <f>MAX(-'Model inputs'!B44,0)</f>
        <v>0</v>
      </c>
    </row>
    <row r="10">
      <c r="A10" t="inlineStr" s="5">
        <is>
          <t xml:space="preserve">Monthly burn &gt; Bootstrap no-sales stress — hypothetical</t>
        </is>
      </c>
      <c r="B10" s="16">
        <f>MAX(-'Model inputs'!D43,0)</f>
        <v>650</v>
      </c>
      <c r="C10" s="16">
        <f>MAX(-'Model inputs'!E43,0)</f>
        <v>450</v>
      </c>
      <c r="D10" s="16">
        <f>MAX(-'Model inputs'!F43,0)</f>
        <v>450</v>
      </c>
      <c r="E10" s="16">
        <f>MAX(-'Model inputs'!G43,0)</f>
        <v>450</v>
      </c>
      <c r="F10" s="16">
        <f>MAX(-'Model inputs'!H43,0)</f>
        <v>450</v>
      </c>
      <c r="G10" s="16">
        <f>MAX(-'Model inputs'!I43,0)</f>
        <v>450</v>
      </c>
      <c r="H10" s="16">
        <f>MAX(-'Model inputs'!J43,0)</f>
        <v>450</v>
      </c>
      <c r="I10" s="16">
        <f>MAX(-'Model inputs'!K43,0)</f>
        <v>450</v>
      </c>
      <c r="J10" s="16">
        <f>MAX(-'Model inputs'!L43,0)</f>
        <v>450</v>
      </c>
      <c r="K10" s="16">
        <f>MAX(-'Model inputs'!M43,0)</f>
        <v>450</v>
      </c>
      <c r="L10" s="16">
        <f>MAX(-'Model inputs'!N43,0)</f>
        <v>450</v>
      </c>
      <c r="M10" s="16">
        <f>MAX(-'Model inputs'!B43,0)</f>
        <v>450</v>
      </c>
    </row>
  </sheetData>
  <mergeCells count="1">
    <mergeCell ref="A1:M1"/>
  </mergeCells>
</worksheet>
</file>

<file path=xl/worksheets/sheet10.xml><?xml version="1.0" encoding="utf-8"?>
<worksheet xmlns="http://schemas.openxmlformats.org/spreadsheetml/2006/main">
  <dimension ref="A1:B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NeatRescue — Sensitivity · Sensitivity capital assumption</t>
        </is>
      </c>
    </row>
    <row r="2" ht="20" customHeight="1">
      <c r="A2" t="inlineStr" s="2">
        <is>
          <t xml:space="preserve">Financial model (5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Sensitivity bootstrap cash</t>
        </is>
      </c>
      <c r="B5" s="16">
        <f>5000</f>
        <v>5000</v>
      </c>
    </row>
  </sheetData>
  <mergeCells count="1">
    <mergeCell ref="A1:B1"/>
  </mergeCells>
</worksheet>
</file>

<file path=xl/worksheets/sheet11.xml><?xml version="1.0" encoding="utf-8"?>
<worksheet xmlns="http://schemas.openxmlformats.org/spreadsheetml/2006/main">
  <dimension ref="A1:I1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</cols>
  <sheetData>
    <row r="1" ht="32" customHeight="1">
      <c r="A1" t="inlineStr" s="1">
        <is>
          <t xml:space="preserve">NeatRescue — Sensitivity · Inference cost × churn sensitivity — hypothetical</t>
        </is>
      </c>
    </row>
    <row r="2" ht="20" customHeight="1">
      <c r="A2" t="inlineStr" s="2">
        <is>
          <t xml:space="preserve">Financial model (5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Sensitivity inference cost</t>
        </is>
      </c>
      <c r="C4" t="inlineStr" s="4">
        <is>
          <t xml:space="preserve">Sensitivity churn</t>
        </is>
      </c>
      <c r="D4" t="inlineStr" s="4">
        <is>
          <t xml:space="preserve">Sensitivity month 12 customers</t>
        </is>
      </c>
      <c r="E4" t="inlineStr" s="4">
        <is>
          <t xml:space="preserve">Sensitivity month 12 revenue</t>
        </is>
      </c>
      <c r="F4" t="inlineStr" s="4">
        <is>
          <t xml:space="preserve">Sensitivity month 12 gross margin</t>
        </is>
      </c>
      <c r="G4" t="inlineStr" s="4">
        <is>
          <t xml:space="preserve">Sensitivity month 12 operating profit</t>
        </is>
      </c>
      <c r="H4" t="inlineStr" s="4">
        <is>
          <t xml:space="preserve">Sensitivity 12-month operating profit</t>
        </is>
      </c>
      <c r="I4" t="inlineStr" s="4">
        <is>
          <t xml:space="preserve">Sensitivity month 12 bootstrap cash</t>
        </is>
      </c>
    </row>
    <row r="5">
      <c r="A5" t="inlineStr" s="5">
        <is>
          <t xml:space="preserve">Inference $0.025 / churn 10%</t>
        </is>
      </c>
      <c r="B5" s="16">
        <f>0.025</f>
        <v>0.025</v>
      </c>
      <c r="C5" s="23">
        <f>0.1</f>
        <v>0.1</v>
      </c>
      <c r="D5" s="6">
        <f>'Model inputs'!P86*('NeatRescue — Assumptions &amp; (2)'!G5+'NeatRescue — Assumptions &amp; (2)'!G6)</f>
        <v>42.83998260360004</v>
      </c>
      <c r="E5" s="16">
        <f>'Model inputs'!P86*('NeatRescue — Assumptions &amp; (2)'!G5*('NeatRescue — Assumptions &amp; (2)'!B5+MAX('NeatRescue — Assumptions &amp; (2)'!D5-'NeatRescue — Assumptions &amp; (2)'!C5,0)*'NeatRescue — Assumptions &amp; (2)'!E5)+'NeatRescue — Assumptions &amp; (2)'!G6*('NeatRescue — Assumptions &amp; (2)'!B6+MAX('NeatRescue — Assumptions &amp; (2)'!D6-'NeatRescue — Assumptions &amp; (2)'!C6,0)*'NeatRescue — Assumptions &amp; (2)'!E6))</f>
        <v>4583.878138585204</v>
      </c>
      <c r="F5" s="18">
        <f>IFERROR(('Model inputs'!P86*('NeatRescue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Infe'!B5+'NeatRescue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Infe'!B5+'NeatRescue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simu'!B14))/'NeatRescue — Sensitivity · Infe'!E5,"")</f>
        <v>0.7252762962015402</v>
      </c>
      <c r="G5" s="16">
        <f>'Model inputs'!P86*('NeatRescue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Infe'!B5+'NeatRescue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Infe'!B5+'NeatRescue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</f>
        <v>3099.5781585922873</v>
      </c>
      <c r="H5" s="16">
        <f>'Model inputs'!P73*('NeatRescue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Infe'!B5+'NeatRescue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Infe'!B5+'NeatRescue — Assumptions &amp; simu'!B8+'NeatRescue — Assumptions &amp; simu'!B9)-'NeatRescue — Assumptions &amp; (2)'!F6))-12*('NeatRescue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simu'!B19)-'NeatRescue — Assumptions &amp; simu'!B16</f>
        <v>15608.710732823358</v>
      </c>
      <c r="I5" s="16">
        <f>'NeatRescue — Sensitivity · Sens'!B5+'NeatRescue — Sensitivity · Infe'!H5</f>
        <v>20608.710732823358</v>
      </c>
    </row>
    <row r="6">
      <c r="A6" t="inlineStr" s="7">
        <is>
          <t xml:space="preserve">Inference $0.025 / churn 2%</t>
        </is>
      </c>
      <c r="B6" s="8">
        <f>0.025</f>
        <v>0.025</v>
      </c>
      <c r="C6" s="24">
        <f>0.02</f>
        <v>0.02</v>
      </c>
      <c r="D6" s="9">
        <f>'Model inputs'!P87*('NeatRescue — Assumptions &amp; (2)'!G5+'NeatRescue — Assumptions &amp; (2)'!G6)</f>
        <v>58.84279132465508</v>
      </c>
      <c r="E6" s="8">
        <f>'Model inputs'!P87*('NeatRescue — Assumptions &amp; (2)'!G5*('NeatRescue — Assumptions &amp; (2)'!B5+MAX('NeatRescue — Assumptions &amp; (2)'!D5-'NeatRescue — Assumptions &amp; (2)'!C5,0)*'NeatRescue — Assumptions &amp; (2)'!E5)+'NeatRescue — Assumptions &amp; (2)'!G6*('NeatRescue — Assumptions &amp; (2)'!B6+MAX('NeatRescue — Assumptions &amp; (2)'!D6-'NeatRescue — Assumptions &amp; (2)'!C6,0)*'NeatRescue — Assumptions &amp; (2)'!E6))</f>
        <v>6296.178671738094</v>
      </c>
      <c r="F6" s="21">
        <f>IFERROR(('Model inputs'!P87*('NeatRescue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Infe'!B6+'NeatRescue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Infe'!B6+'NeatRescue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simu'!B14))/'NeatRescue — Sensitivity · Infe'!E6,"")</f>
        <v>0.7386254089957983</v>
      </c>
      <c r="G6" s="8">
        <f>'Model inputs'!P87*('NeatRescue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Infe'!B6+'NeatRescue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Infe'!B6+'NeatRescue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</f>
        <v>4425.517546523171</v>
      </c>
      <c r="H6" s="8">
        <f>'Model inputs'!P74*('NeatRescue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Infe'!B6+'NeatRescue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Infe'!B6+'NeatRescue — Assumptions &amp; simu'!B8+'NeatRescue — Assumptions &amp; simu'!B9)-'NeatRescue — Assumptions &amp; (2)'!F6))-12*('NeatRescue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simu'!B19)-'NeatRescue — Assumptions &amp; simu'!B16</f>
        <v>21274.211021134466</v>
      </c>
      <c r="I6" s="8">
        <f>'NeatRescue — Sensitivity · Sens'!B5+'NeatRescue — Sensitivity · Infe'!H6</f>
        <v>26274.211021134466</v>
      </c>
    </row>
    <row r="7">
      <c r="A7" t="inlineStr" s="7">
        <is>
          <t xml:space="preserve">Inference $0.025 / churn 5%</t>
        </is>
      </c>
      <c r="B7" s="8">
        <f>0.025</f>
        <v>0.025</v>
      </c>
      <c r="C7" s="24">
        <f>0.05</f>
        <v>0.05</v>
      </c>
      <c r="D7" s="9">
        <f>'Model inputs'!P88*('NeatRescue — Assumptions &amp; (2)'!G5+'NeatRescue — Assumptions &amp; (2)'!G6)</f>
        <v>51.961365781167316</v>
      </c>
      <c r="E7" s="8">
        <f>'Model inputs'!P88*('NeatRescue — Assumptions &amp; (2)'!G5*('NeatRescue — Assumptions &amp; (2)'!B5+MAX('NeatRescue — Assumptions &amp; (2)'!D5-'NeatRescue — Assumptions &amp; (2)'!C5,0)*'NeatRescue — Assumptions &amp; (2)'!E5)+'NeatRescue — Assumptions &amp; (2)'!G6*('NeatRescue — Assumptions &amp; (2)'!B6+MAX('NeatRescue — Assumptions &amp; (2)'!D6-'NeatRescue — Assumptions &amp; (2)'!C6,0)*'NeatRescue — Assumptions &amp; (2)'!E6))</f>
        <v>5559.866138584904</v>
      </c>
      <c r="F7" s="21">
        <f>IFERROR(('Model inputs'!P88*('NeatRescue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Infe'!B7+'NeatRescue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Infe'!B7+'NeatRescue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simu'!B14))/'NeatRescue — Sensitivity · Infe'!E7,"")</f>
        <v>0.7338927705035447</v>
      </c>
      <c r="G7" s="8">
        <f>'Model inputs'!P88*('NeatRescue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Infe'!B7+'NeatRescue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Infe'!B7+'NeatRescue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</f>
        <v>3855.34556407492</v>
      </c>
      <c r="H7" s="8">
        <f>'Model inputs'!P75*('NeatRescue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Infe'!B7+'NeatRescue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Infe'!B7+'NeatRescue — Assumptions &amp; simu'!B8+'NeatRescue — Assumptions &amp; simu'!B9)-'NeatRescue — Assumptions &amp; (2)'!F6))-12*('NeatRescue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simu'!B19)-'NeatRescue — Assumptions &amp; simu'!B16</f>
        <v>18908.262602884428</v>
      </c>
      <c r="I7" s="8">
        <f>'NeatRescue — Sensitivity · Sens'!B5+'NeatRescue — Sensitivity · Infe'!H7</f>
        <v>23908.262602884428</v>
      </c>
    </row>
    <row r="8">
      <c r="A8" t="inlineStr" s="7">
        <is>
          <t xml:space="preserve">Inference $0.050 / churn 10%</t>
        </is>
      </c>
      <c r="B8" s="8">
        <f>0.05</f>
        <v>0.05</v>
      </c>
      <c r="C8" s="24">
        <f>0.1</f>
        <v>0.1</v>
      </c>
      <c r="D8" s="9">
        <f>'Model inputs'!P89*('NeatRescue — Assumptions &amp; (2)'!G5+'NeatRescue — Assumptions &amp; (2)'!G6)</f>
        <v>42.83998260360004</v>
      </c>
      <c r="E8" s="8">
        <f>'Model inputs'!P89*('NeatRescue — Assumptions &amp; (2)'!G5*('NeatRescue — Assumptions &amp; (2)'!B5+MAX('NeatRescue — Assumptions &amp; (2)'!D5-'NeatRescue — Assumptions &amp; (2)'!C5,0)*'NeatRescue — Assumptions &amp; (2)'!E5)+'NeatRescue — Assumptions &amp; (2)'!G6*('NeatRescue — Assumptions &amp; (2)'!B6+MAX('NeatRescue — Assumptions &amp; (2)'!D6-'NeatRescue — Assumptions &amp; (2)'!C6,0)*'NeatRescue — Assumptions &amp; (2)'!E6))</f>
        <v>4583.878138585204</v>
      </c>
      <c r="F8" s="21">
        <f>IFERROR(('Model inputs'!P89*('NeatRescue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Infe'!B8+'NeatRescue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Infe'!B8+'NeatRescue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simu'!B14))/'NeatRescue — Sensitivity · Infe'!E8,"")</f>
        <v>0.6442794114663377</v>
      </c>
      <c r="G8" s="8">
        <f>'Model inputs'!P89*('NeatRescue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Infe'!B8+'NeatRescue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Infe'!B8+'NeatRescue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</f>
        <v>2728.298309361087</v>
      </c>
      <c r="H8" s="8">
        <f>'Model inputs'!P76*('NeatRescue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Infe'!B8+'NeatRescue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Infe'!B8+'NeatRescue — Assumptions &amp; simu'!B8+'NeatRescue — Assumptions &amp; simu'!B9)-'NeatRescue — Assumptions &amp; (2)'!F6))-12*('NeatRescue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simu'!B19)-'NeatRescue — Assumptions &amp; simu'!B16</f>
        <v>13390.315596429555</v>
      </c>
      <c r="I8" s="8">
        <f>'NeatRescue — Sensitivity · Sens'!B5+'NeatRescue — Sensitivity · Infe'!H8</f>
        <v>18390.315596429555</v>
      </c>
    </row>
    <row r="9">
      <c r="A9" t="inlineStr" s="7">
        <is>
          <t xml:space="preserve">Inference $0.050 / churn 2%</t>
        </is>
      </c>
      <c r="B9" s="8">
        <f>0.05</f>
        <v>0.05</v>
      </c>
      <c r="C9" s="24">
        <f>0.02</f>
        <v>0.02</v>
      </c>
      <c r="D9" s="9">
        <f>'Model inputs'!P90*('NeatRescue — Assumptions &amp; (2)'!G5+'NeatRescue — Assumptions &amp; (2)'!G6)</f>
        <v>58.84279132465508</v>
      </c>
      <c r="E9" s="8">
        <f>'Model inputs'!P90*('NeatRescue — Assumptions &amp; (2)'!G5*('NeatRescue — Assumptions &amp; (2)'!B5+MAX('NeatRescue — Assumptions &amp; (2)'!D5-'NeatRescue — Assumptions &amp; (2)'!C5,0)*'NeatRescue — Assumptions &amp; (2)'!E5)+'NeatRescue — Assumptions &amp; (2)'!G6*('NeatRescue — Assumptions &amp; (2)'!B6+MAX('NeatRescue — Assumptions &amp; (2)'!D6-'NeatRescue — Assumptions &amp; (2)'!C6,0)*'NeatRescue — Assumptions &amp; (2)'!E6))</f>
        <v>6296.178671738094</v>
      </c>
      <c r="F9" s="21">
        <f>IFERROR(('Model inputs'!P90*('NeatRescue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Infe'!B9+'NeatRescue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Infe'!B9+'NeatRescue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simu'!B14))/'NeatRescue — Sensitivity · Infe'!E9,"")</f>
        <v>0.6576285242605958</v>
      </c>
      <c r="G9" s="8">
        <f>'Model inputs'!P90*('NeatRescue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Infe'!B9+'NeatRescue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Infe'!B9+'NeatRescue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</f>
        <v>3915.546688376161</v>
      </c>
      <c r="H9" s="8">
        <f>'Model inputs'!P77*('NeatRescue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Infe'!B9+'NeatRescue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Infe'!B9+'NeatRescue — Assumptions &amp; simu'!B8+'NeatRescue — Assumptions &amp; simu'!B9)-'NeatRescue — Assumptions &amp; (2)'!F6))-12*('NeatRescue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simu'!B19)-'NeatRescue — Assumptions &amp; simu'!B16</f>
        <v>18463.214172964952</v>
      </c>
      <c r="I9" s="8">
        <f>'NeatRescue — Sensitivity · Sens'!B5+'NeatRescue — Sensitivity · Infe'!H9</f>
        <v>23463.214172964952</v>
      </c>
    </row>
    <row r="10">
      <c r="A10" t="inlineStr" s="7">
        <is>
          <t xml:space="preserve">Inference $0.050 / churn 5%</t>
        </is>
      </c>
      <c r="B10" s="8">
        <f>0.05</f>
        <v>0.05</v>
      </c>
      <c r="C10" s="24">
        <f>0.05</f>
        <v>0.05</v>
      </c>
      <c r="D10" s="9">
        <f>'Model inputs'!P91*('NeatRescue — Assumptions &amp; (2)'!G5+'NeatRescue — Assumptions &amp; (2)'!G6)</f>
        <v>51.961365781167316</v>
      </c>
      <c r="E10" s="8">
        <f>'Model inputs'!P91*('NeatRescue — Assumptions &amp; (2)'!G5*('NeatRescue — Assumptions &amp; (2)'!B5+MAX('NeatRescue — Assumptions &amp; (2)'!D5-'NeatRescue — Assumptions &amp; (2)'!C5,0)*'NeatRescue — Assumptions &amp; (2)'!E5)+'NeatRescue — Assumptions &amp; (2)'!G6*('NeatRescue — Assumptions &amp; (2)'!B6+MAX('NeatRescue — Assumptions &amp; (2)'!D6-'NeatRescue — Assumptions &amp; (2)'!C6,0)*'NeatRescue — Assumptions &amp; (2)'!E6))</f>
        <v>5559.866138584904</v>
      </c>
      <c r="F10" s="21">
        <f>IFERROR(('Model inputs'!P91*('NeatRescue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Infe'!B10+'NeatRescue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Infe'!B10+'NeatRescue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simu'!B14))/'NeatRescue — Sensitivity · Infe'!E10,"")</f>
        <v>0.6528958857683422</v>
      </c>
      <c r="G10" s="8">
        <f>'Model inputs'!P91*('NeatRescue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Infe'!B10+'NeatRescue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Infe'!B10+'NeatRescue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</f>
        <v>3405.0137273048035</v>
      </c>
      <c r="H10" s="8">
        <f>'Model inputs'!P78*('NeatRescue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Infe'!B10+'NeatRescue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Infe'!B10+'NeatRescue — Assumptions &amp; simu'!B8+'NeatRescue — Assumptions &amp; simu'!B9)-'NeatRescue — Assumptions &amp; (2)'!F6))-12*('NeatRescue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simu'!B19)-'NeatRescue — Assumptions &amp; simu'!B16</f>
        <v>16344.739942567434</v>
      </c>
      <c r="I10" s="8">
        <f>'NeatRescue — Sensitivity · Sens'!B5+'NeatRescue — Sensitivity · Infe'!H10</f>
        <v>21344.739942567434</v>
      </c>
    </row>
    <row r="11">
      <c r="A11" t="inlineStr" s="7">
        <is>
          <t xml:space="preserve">Inference $0.150 / churn 10%</t>
        </is>
      </c>
      <c r="B11" s="8">
        <f>0.15</f>
        <v>0.15</v>
      </c>
      <c r="C11" s="24">
        <f>0.1</f>
        <v>0.1</v>
      </c>
      <c r="D11" s="9">
        <f>'Model inputs'!P92*('NeatRescue — Assumptions &amp; (2)'!G5+'NeatRescue — Assumptions &amp; (2)'!G6)</f>
        <v>42.83998260360004</v>
      </c>
      <c r="E11" s="8">
        <f>'Model inputs'!P92*('NeatRescue — Assumptions &amp; (2)'!G5*('NeatRescue — Assumptions &amp; (2)'!B5+MAX('NeatRescue — Assumptions &amp; (2)'!D5-'NeatRescue — Assumptions &amp; (2)'!C5,0)*'NeatRescue — Assumptions &amp; (2)'!E5)+'NeatRescue — Assumptions &amp; (2)'!G6*('NeatRescue — Assumptions &amp; (2)'!B6+MAX('NeatRescue — Assumptions &amp; (2)'!D6-'NeatRescue — Assumptions &amp; (2)'!C6,0)*'NeatRescue — Assumptions &amp; (2)'!E6))</f>
        <v>4583.878138585204</v>
      </c>
      <c r="F11" s="21">
        <f>IFERROR(('Model inputs'!P92*('NeatRescue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Infe'!B11+'NeatRescue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Infe'!B11+'NeatRescue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simu'!B14))/'NeatRescue — Sensitivity · Infe'!E11,"")</f>
        <v>0.3202918725255277</v>
      </c>
      <c r="G11" s="8">
        <f>'Model inputs'!P92*('NeatRescue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Infe'!B11+'NeatRescue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Infe'!B11+'NeatRescue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</f>
        <v>1243.1789124362856</v>
      </c>
      <c r="H11" s="8">
        <f>'Model inputs'!P79*('NeatRescue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Infe'!B11+'NeatRescue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Infe'!B11+'NeatRescue — Assumptions &amp; simu'!B8+'NeatRescue — Assumptions &amp; simu'!B9)-'NeatRescue — Assumptions &amp; (2)'!F6))-12*('NeatRescue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simu'!B19)-'NeatRescue — Assumptions &amp; simu'!B16</f>
        <v>4516.7350508543495</v>
      </c>
      <c r="I11" s="8">
        <f>'NeatRescue — Sensitivity · Sens'!B5+'NeatRescue — Sensitivity · Infe'!H11</f>
        <v>9516.73505085435</v>
      </c>
    </row>
    <row r="12">
      <c r="A12" t="inlineStr" s="7">
        <is>
          <t xml:space="preserve">Inference $0.150 / churn 2%</t>
        </is>
      </c>
      <c r="B12" s="8">
        <f>0.15</f>
        <v>0.15</v>
      </c>
      <c r="C12" s="24">
        <f>0.02</f>
        <v>0.02</v>
      </c>
      <c r="D12" s="9">
        <f>'Model inputs'!P93*('NeatRescue — Assumptions &amp; (2)'!G5+'NeatRescue — Assumptions &amp; (2)'!G6)</f>
        <v>58.84279132465508</v>
      </c>
      <c r="E12" s="8">
        <f>'Model inputs'!P93*('NeatRescue — Assumptions &amp; (2)'!G5*('NeatRescue — Assumptions &amp; (2)'!B5+MAX('NeatRescue — Assumptions &amp; (2)'!D5-'NeatRescue — Assumptions &amp; (2)'!C5,0)*'NeatRescue — Assumptions &amp; (2)'!E5)+'NeatRescue — Assumptions &amp; (2)'!G6*('NeatRescue — Assumptions &amp; (2)'!B6+MAX('NeatRescue — Assumptions &amp; (2)'!D6-'NeatRescue — Assumptions &amp; (2)'!C6,0)*'NeatRescue — Assumptions &amp; (2)'!E6))</f>
        <v>6296.178671738094</v>
      </c>
      <c r="F12" s="21">
        <f>IFERROR(('Model inputs'!P93*('NeatRescue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Infe'!B12+'NeatRescue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Infe'!B12+'NeatRescue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simu'!B14))/'NeatRescue — Sensitivity · Infe'!E12,"")</f>
        <v>0.3336409853197858</v>
      </c>
      <c r="G12" s="8">
        <f>'Model inputs'!P93*('NeatRescue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Infe'!B12+'NeatRescue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Infe'!B12+'NeatRescue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</f>
        <v>1875.663255788118</v>
      </c>
      <c r="H12" s="8">
        <f>'Model inputs'!P80*('NeatRescue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Infe'!B12+'NeatRescue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Infe'!B12+'NeatRescue — Assumptions &amp; simu'!B8+'NeatRescue — Assumptions &amp; simu'!B9)-'NeatRescue — Assumptions &amp; (2)'!F6))-12*('NeatRescue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simu'!B19)-'NeatRescue — Assumptions &amp; simu'!B16</f>
        <v>7219.226780286897</v>
      </c>
      <c r="I12" s="8">
        <f>'NeatRescue — Sensitivity · Sens'!B5+'NeatRescue — Sensitivity · Infe'!H12</f>
        <v>12219.226780286897</v>
      </c>
    </row>
    <row r="13">
      <c r="A13" t="inlineStr" s="7">
        <is>
          <t xml:space="preserve">Inference $0.150 / churn 5%</t>
        </is>
      </c>
      <c r="B13" s="8">
        <f>0.15</f>
        <v>0.15</v>
      </c>
      <c r="C13" s="24">
        <f>0.05</f>
        <v>0.05</v>
      </c>
      <c r="D13" s="9">
        <f>'Model inputs'!P94*('NeatRescue — Assumptions &amp; (2)'!G5+'NeatRescue — Assumptions &amp; (2)'!G6)</f>
        <v>51.961365781167316</v>
      </c>
      <c r="E13" s="8">
        <f>'Model inputs'!P94*('NeatRescue — Assumptions &amp; (2)'!G5*('NeatRescue — Assumptions &amp; (2)'!B5+MAX('NeatRescue — Assumptions &amp; (2)'!D5-'NeatRescue — Assumptions &amp; (2)'!C5,0)*'NeatRescue — Assumptions &amp; (2)'!E5)+'NeatRescue — Assumptions &amp; (2)'!G6*('NeatRescue — Assumptions &amp; (2)'!B6+MAX('NeatRescue — Assumptions &amp; (2)'!D6-'NeatRescue — Assumptions &amp; (2)'!C6,0)*'NeatRescue — Assumptions &amp; (2)'!E6))</f>
        <v>5559.866138584904</v>
      </c>
      <c r="F13" s="21">
        <f>IFERROR(('Model inputs'!P94*('NeatRescue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Infe'!B13+'NeatRescue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Infe'!B13+'NeatRescue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simu'!B14))/'NeatRescue — Sensitivity · Infe'!E13,"")</f>
        <v>0.32890834682753234</v>
      </c>
      <c r="G13" s="8">
        <f>'Model inputs'!P94*('NeatRescue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Infe'!B13+'NeatRescue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Infe'!B13+'NeatRescue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</f>
        <v>1603.6863802243365</v>
      </c>
      <c r="H13" s="8">
        <f>'Model inputs'!P81*('NeatRescue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Infe'!B13+'NeatRescue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Infe'!B13+'NeatRescue — Assumptions &amp; simu'!B8+'NeatRescue — Assumptions &amp; simu'!B9)-'NeatRescue — Assumptions &amp; (2)'!F6))-12*('NeatRescue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simu'!B19)-'NeatRescue — Assumptions &amp; simu'!B16</f>
        <v>6090.64930129946</v>
      </c>
      <c r="I13" s="8">
        <f>'NeatRescue — Sensitivity · Sens'!B5+'NeatRescue — Sensitivity · Infe'!H13</f>
        <v>11090.64930129946</v>
      </c>
    </row>
    <row r="14">
      <c r="A14" t="inlineStr" s="7">
        <is>
          <t xml:space="preserve">Inference $0.300 / churn 10%</t>
        </is>
      </c>
      <c r="B14" s="8">
        <f>0.3</f>
        <v>0.3</v>
      </c>
      <c r="C14" s="24">
        <f>0.1</f>
        <v>0.1</v>
      </c>
      <c r="D14" s="9">
        <f>'Model inputs'!P95*('NeatRescue — Assumptions &amp; (2)'!G5+'NeatRescue — Assumptions &amp; (2)'!G6)</f>
        <v>42.83998260360004</v>
      </c>
      <c r="E14" s="8">
        <f>'Model inputs'!P95*('NeatRescue — Assumptions &amp; (2)'!G5*('NeatRescue — Assumptions &amp; (2)'!B5+MAX('NeatRescue — Assumptions &amp; (2)'!D5-'NeatRescue — Assumptions &amp; (2)'!C5,0)*'NeatRescue — Assumptions &amp; (2)'!E5)+'NeatRescue — Assumptions &amp; (2)'!G6*('NeatRescue — Assumptions &amp; (2)'!B6+MAX('NeatRescue — Assumptions &amp; (2)'!D6-'NeatRescue — Assumptions &amp; (2)'!C6,0)*'NeatRescue — Assumptions &amp; (2)'!E6))</f>
        <v>4583.878138585204</v>
      </c>
      <c r="F14" s="21">
        <f>IFERROR(('Model inputs'!P95*('NeatRescue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Infe'!B14+'NeatRescue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Infe'!B14+'NeatRescue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simu'!B14))/'NeatRescue — Sensitivity · Infe'!E14,"")</f>
        <v>-0.1656894358856872</v>
      </c>
      <c r="G14" s="8">
        <f>'Model inputs'!P95*('NeatRescue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Infe'!B14+'NeatRescue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Infe'!B14+'NeatRescue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</f>
        <v>-984.5001829509164</v>
      </c>
      <c r="H14" s="8">
        <f>'Model inputs'!P82*('NeatRescue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Infe'!B14+'NeatRescue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Infe'!B14+'NeatRescue — Assumptions &amp; simu'!B8+'NeatRescue — Assumptions &amp; simu'!B9)-'NeatRescue — Assumptions &amp; (2)'!F6))-12*('NeatRescue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simu'!B19)-'NeatRescue — Assumptions &amp; simu'!B16</f>
        <v>-8793.635767508462</v>
      </c>
      <c r="I14" s="8">
        <f>'NeatRescue — Sensitivity · Sens'!B5+'NeatRescue — Sensitivity · Infe'!H14</f>
        <v>-3793.635767508462</v>
      </c>
    </row>
    <row r="15">
      <c r="A15" t="inlineStr" s="7">
        <is>
          <t xml:space="preserve">Inference $0.300 / churn 2%</t>
        </is>
      </c>
      <c r="B15" s="8">
        <f>0.3</f>
        <v>0.3</v>
      </c>
      <c r="C15" s="24">
        <f>0.02</f>
        <v>0.02</v>
      </c>
      <c r="D15" s="9">
        <f>'Model inputs'!P96*('NeatRescue — Assumptions &amp; (2)'!G5+'NeatRescue — Assumptions &amp; (2)'!G6)</f>
        <v>58.84279132465508</v>
      </c>
      <c r="E15" s="8">
        <f>'Model inputs'!P96*('NeatRescue — Assumptions &amp; (2)'!G5*('NeatRescue — Assumptions &amp; (2)'!B5+MAX('NeatRescue — Assumptions &amp; (2)'!D5-'NeatRescue — Assumptions &amp; (2)'!C5,0)*'NeatRescue — Assumptions &amp; (2)'!E5)+'NeatRescue — Assumptions &amp; (2)'!G6*('NeatRescue — Assumptions &amp; (2)'!B6+MAX('NeatRescue — Assumptions &amp; (2)'!D6-'NeatRescue — Assumptions &amp; (2)'!C6,0)*'NeatRescue — Assumptions &amp; (2)'!E6))</f>
        <v>6296.178671738094</v>
      </c>
      <c r="F15" s="21">
        <f>IFERROR(('Model inputs'!P96*('NeatRescue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Infe'!B15+'NeatRescue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Infe'!B15+'NeatRescue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simu'!B14))/'NeatRescue — Sensitivity · Infe'!E15,"")</f>
        <v>-0.15234032309142914</v>
      </c>
      <c r="G15" s="8">
        <f>'Model inputs'!P96*('NeatRescue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Infe'!B15+'NeatRescue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Infe'!B15+'NeatRescue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</f>
        <v>-1184.1618930939464</v>
      </c>
      <c r="H15" s="8">
        <f>'Model inputs'!P83*('NeatRescue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Infe'!B15+'NeatRescue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Infe'!B15+'NeatRescue — Assumptions &amp; simu'!B8+'NeatRescue — Assumptions &amp; simu'!B9)-'NeatRescue — Assumptions &amp; (2)'!F6))-12*('NeatRescue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simu'!B19)-'NeatRescue — Assumptions &amp; simu'!B16</f>
        <v>-9646.75430873019</v>
      </c>
      <c r="I15" s="8">
        <f>'NeatRescue — Sensitivity · Sens'!B5+'NeatRescue — Sensitivity · Infe'!H15</f>
        <v>-4646.754308730189</v>
      </c>
    </row>
    <row r="16">
      <c r="A16" t="inlineStr" s="5">
        <is>
          <t xml:space="preserve">Inference $0.300 / churn 5%</t>
        </is>
      </c>
      <c r="B16" s="16">
        <f>0.3</f>
        <v>0.3</v>
      </c>
      <c r="C16" s="23">
        <f>0.05</f>
        <v>0.05</v>
      </c>
      <c r="D16" s="6">
        <f>'Model inputs'!P97*('NeatRescue — Assumptions &amp; (2)'!G5+'NeatRescue — Assumptions &amp; (2)'!G6)</f>
        <v>51.961365781167316</v>
      </c>
      <c r="E16" s="16">
        <f>'Model inputs'!P97*('NeatRescue — Assumptions &amp; (2)'!G5*('NeatRescue — Assumptions &amp; (2)'!B5+MAX('NeatRescue — Assumptions &amp; (2)'!D5-'NeatRescue — Assumptions &amp; (2)'!C5,0)*'NeatRescue — Assumptions &amp; (2)'!E5)+'NeatRescue — Assumptions &amp; (2)'!G6*('NeatRescue — Assumptions &amp; (2)'!B6+MAX('NeatRescue — Assumptions &amp; (2)'!D6-'NeatRescue — Assumptions &amp; (2)'!C6,0)*'NeatRescue — Assumptions &amp; (2)'!E6))</f>
        <v>5559.866138584904</v>
      </c>
      <c r="F16" s="18">
        <f>IFERROR(('Model inputs'!P97*('NeatRescue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Infe'!B16+'NeatRescue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Infe'!B16+'NeatRescue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simu'!B14))/'NeatRescue — Sensitivity · Infe'!E16,"")</f>
        <v>-0.15707296158368256</v>
      </c>
      <c r="G16" s="16">
        <f>'Model inputs'!P97*('NeatRescue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Infe'!B16+'NeatRescue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Infe'!B16+'NeatRescue — Assumptions &amp; simu'!B8+'NeatRescue — Assumptions &amp; simu'!B9)-'NeatRescue — Assumptions &amp; (2)'!F6))-('NeatRescue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</f>
        <v>-1098.304640396364</v>
      </c>
      <c r="H16" s="16">
        <f>'Model inputs'!P84*('NeatRescue — Assumptions &amp; (2)'!G5*(('NeatRescue — Assumptions &amp; (2)'!B5+MAX('NeatRescue — Assumptions &amp; (2)'!D5-'NeatRescue — Assumptions &amp; (2)'!C5,0)*'NeatRescue — Assumptions &amp; (2)'!E5)*(1-'NeatRescue — Assumptions &amp; simu'!B18)-'NeatRescue — Assumptions &amp; (2)'!D5*('NeatRescue — Sensitivity · Infe'!B16+'NeatRescue — Assumptions &amp; simu'!B8+'NeatRescue — Assumptions &amp; simu'!B9)-'NeatRescue — Assumptions &amp; (2)'!F5)+'NeatRescue — Assumptions &amp; (2)'!G6*(('NeatRescue — Assumptions &amp; (2)'!B6+MAX('NeatRescue — Assumptions &amp; (2)'!D6-'NeatRescue — Assumptions &amp; (2)'!C6,0)*'NeatRescue — Assumptions &amp; (2)'!E6)*(1-'NeatRescue — Assumptions &amp; simu'!B18)-'NeatRescue — Assumptions &amp; (2)'!D6*('NeatRescue — Sensitivity · Infe'!B16+'NeatRescue — Assumptions &amp; simu'!B8+'NeatRescue — Assumptions &amp; simu'!B9)-'NeatRescue — Assumptions &amp; (2)'!F6))-12*('NeatRescue — Assumptions &amp; simu'!B10+'NeatRescue — Assumptions &amp; simu'!B11+'NeatRescue — Assumptions &amp; simu'!B12+'NeatRescue — Assumptions &amp; simu'!B14+'NeatRescue — Assumptions &amp; simu'!B13+'NeatRescue — Assumptions &amp; simu'!B15+'NeatRescue — Assumptions &amp; simu'!B19)-'NeatRescue — Assumptions &amp; simu'!B16</f>
        <v>-9290.486660602503</v>
      </c>
      <c r="I16" s="16">
        <f>'NeatRescue — Sensitivity · Sens'!B5+'NeatRescue — Sensitivity · Infe'!H16</f>
        <v>-4290.4866606025025</v>
      </c>
    </row>
  </sheetData>
  <mergeCells count="1">
    <mergeCell ref="A1:I1"/>
  </mergeCells>
</worksheet>
</file>

<file path=xl/worksheets/sheet12.xml><?xml version="1.0" encoding="utf-8"?>
<worksheet xmlns="http://schemas.openxmlformats.org/spreadsheetml/2006/main">
  <dimension ref="A1:P605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25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2027-09</t>
        </is>
      </c>
      <c r="C5" t="inlineStr" s="4">
        <is>
          <t xml:space="preserve">2026-09</t>
        </is>
      </c>
      <c r="D5" t="inlineStr" s="15">
        <is>
          <t xml:space="preserve">2026-10</t>
        </is>
      </c>
      <c r="E5" t="inlineStr" s="4">
        <is>
          <t xml:space="preserve">2026-11</t>
        </is>
      </c>
      <c r="F5" t="inlineStr" s="4">
        <is>
          <t xml:space="preserve">2026-12</t>
        </is>
      </c>
      <c r="G5" t="inlineStr" s="15">
        <is>
          <t xml:space="preserve">2027-01</t>
        </is>
      </c>
      <c r="H5" t="inlineStr" s="4">
        <is>
          <t xml:space="preserve">2027-02</t>
        </is>
      </c>
      <c r="I5" t="inlineStr" s="4">
        <is>
          <t xml:space="preserve">2027-03</t>
        </is>
      </c>
      <c r="J5" t="inlineStr" s="15">
        <is>
          <t xml:space="preserve">2027-04</t>
        </is>
      </c>
      <c r="K5" t="inlineStr" s="4">
        <is>
          <t xml:space="preserve">2027-05</t>
        </is>
      </c>
      <c r="L5" t="inlineStr" s="4">
        <is>
          <t xml:space="preserve">2027-06</t>
        </is>
      </c>
      <c r="M5" t="inlineStr" s="15">
        <is>
          <t xml:space="preserve">2027-07</t>
        </is>
      </c>
      <c r="N5" t="inlineStr" s="4">
        <is>
          <t xml:space="preserve">2027-08</t>
        </is>
      </c>
      <c r="O5" t="inlineStr" s="4">
        <is>
          <t xml:space="preserve">Value</t>
        </is>
      </c>
      <c r="P5" t="inlineStr" s="4">
        <is>
          <t xml:space="preserve">Value</t>
        </is>
      </c>
    </row>
    <row r="6">
      <c r="A6" t="inlineStr" s="26">
        <is>
          <t xml:space="preserve">Break-even customers · Main Scenario</t>
        </is>
      </c>
      <c r="B6" s="9">
        <f>IF(IF(IF(ISERROR('Model inputs'!B102&gt;0),'Model inputs'!B102&gt;0,IF('Model inputs'!B102="","",'Model inputs'!B102&gt;0))="",FALSE,IF(ISERROR('Model inputs'!B102&gt;0),'Model inputs'!B102&gt;0,IF('Model inputs'!B102="","",'Model inputs'!B102&gt;0))),CEILING(('Model inputs'!B103+'Model inputs'!B112+'Model inputs'!B98+'Model inputs'!B104)/'Model inputs'!B102,1),"")</f>
        <v>7</v>
      </c>
    </row>
    <row r="7">
      <c r="A7" t="inlineStr" s="26">
        <is>
          <t xml:space="preserve">Break-even customers · Bootstrap no-sales stress — hypothetical</t>
        </is>
      </c>
      <c r="B7" t="str" s="9">
        <f>IF(IF(IF(ISERROR('Model inputs'!B223&gt;0),'Model inputs'!B223&gt;0,IF('Model inputs'!B223="","",'Model inputs'!B223&gt;0))="",FALSE,IF(ISERROR('Model inputs'!B223&gt;0),'Model inputs'!B223&gt;0,IF('Model inputs'!B223="","",'Model inputs'!B223&gt;0))),CEILING(('Model inputs'!B227+'Model inputs'!B255+'Model inputs'!B205+'Model inputs'!B231)/IF('Model inputs'!B223="",0,'Model inputs'!B223),1),"")</f>
        <v/>
      </c>
    </row>
    <row r="8">
      <c r="A8" t="inlineStr" s="26">
        <is>
          <t xml:space="preserve">Break-even customers · Growth</t>
        </is>
      </c>
      <c r="B8" s="9">
        <f>IF(IF(IF(ISERROR('Model inputs'!B224&gt;0),'Model inputs'!B224&gt;0,IF('Model inputs'!B224="","",'Model inputs'!B224&gt;0))="",FALSE,IF(ISERROR('Model inputs'!B224&gt;0),'Model inputs'!B224&gt;0,IF('Model inputs'!B224="","",'Model inputs'!B224&gt;0))),CEILING(('Model inputs'!B228+'Model inputs'!B256+'Model inputs'!B206+'Model inputs'!B232)/'Model inputs'!B224,1),"")</f>
        <v>9</v>
      </c>
    </row>
    <row r="9">
      <c r="A9" t="inlineStr" s="26">
        <is>
          <t xml:space="preserve">Break-even customers · Bootstrap $5,000 — hypothetical</t>
        </is>
      </c>
      <c r="B9" s="9">
        <f>IF(IF(IF(ISERROR('Model inputs'!B225&gt;0),'Model inputs'!B225&gt;0,IF('Model inputs'!B225="","",'Model inputs'!B225&gt;0))="",FALSE,IF(ISERROR('Model inputs'!B225&gt;0),'Model inputs'!B225&gt;0,IF('Model inputs'!B225="","",'Model inputs'!B225&gt;0))),CEILING(('Model inputs'!B229+'Model inputs'!B257+'Model inputs'!B207+'Model inputs'!B233)/'Model inputs'!B225,1),"")</f>
        <v>7</v>
      </c>
    </row>
    <row r="10">
      <c r="A10" t="inlineStr" s="26">
        <is>
          <t xml:space="preserve">Break-even customers · Conservative</t>
        </is>
      </c>
      <c r="B10" s="9">
        <f>IF(IF(IF(ISERROR('Model inputs'!B226&gt;0),'Model inputs'!B226&gt;0,IF('Model inputs'!B226="","",'Model inputs'!B226&gt;0))="",FALSE,IF(ISERROR('Model inputs'!B226&gt;0),'Model inputs'!B226&gt;0,IF('Model inputs'!B226="","",'Model inputs'!B226&gt;0))),CEILING(('Model inputs'!B230+'Model inputs'!B258+'Model inputs'!B208+'Model inputs'!B234)/'Model inputs'!B226,1),"")</f>
        <v>7</v>
      </c>
    </row>
    <row r="11">
      <c r="A11" t="inlineStr" s="26">
        <is>
          <t xml:space="preserve">Closing cash · NeatRescue — Hackathon submission · 12-month scenario comparison — hypothetical · Main Scenario</t>
        </is>
      </c>
      <c r="B11" s="8">
        <f>IF(IF(DATE(2027,9,1)=DATE(2026,10,1),IF('Model inputs'!O45="","",'Model inputs'!O45),IF('Model inputs'!N11="","",'Model inputs'!N11))="",0,IF(DATE(2027,9,1)=DATE(2026,10,1),IF('Model inputs'!O45="","",'Model inputs'!O45),IF('Model inputs'!N11="","",'Model inputs'!N11)))+'Model inputs'!B42</f>
        <v>16344.739942567423</v>
      </c>
      <c r="C11" s="8">
        <v>0</v>
      </c>
      <c r="D11" s="8">
        <f>IF(IF(DATE(2026,10,1)=DATE(2026,10,1),IF('Model inputs'!O45="","",'Model inputs'!O45),IF('Model inputs'!C11="","",'Model inputs'!C11))="",0,IF(DATE(2026,10,1)=DATE(2026,10,1),IF('Model inputs'!O45="","",'Model inputs'!O45),IF('Model inputs'!C11="","",'Model inputs'!C11)))+'Model inputs'!D42</f>
        <v>-427.43</v>
      </c>
      <c r="E11" s="8">
        <f>IF(IF(DATE(2026,11,1)=DATE(2026,10,1),IF('Model inputs'!O45="","",'Model inputs'!O45),IF('Model inputs'!D11="","",'Model inputs'!D11))="",0,IF(DATE(2026,11,1)=DATE(2026,10,1),IF('Model inputs'!O45="","",'Model inputs'!O45),IF('Model inputs'!D11="","",'Model inputs'!D11)))+'Model inputs'!E42</f>
        <v>-421.1615</v>
      </c>
      <c r="F11" s="8">
        <f>IF(IF(DATE(2026,12,1)=DATE(2026,10,1),IF('Model inputs'!O45="","",'Model inputs'!O45),IF('Model inputs'!E11="","",'Model inputs'!E11))="",0,IF(DATE(2026,12,1)=DATE(2026,10,1),IF('Model inputs'!O45="","",'Model inputs'!O45),IF('Model inputs'!E11="","",'Model inputs'!E11)))+'Model inputs'!F42</f>
        <v>-168.3967249999999</v>
      </c>
      <c r="G11" s="8">
        <f>IF(IF(DATE(2027,1,1)=DATE(2026,10,1),IF('Model inputs'!O45="","",'Model inputs'!O45),IF('Model inputs'!F11="","",'Model inputs'!F11))="",0,IF(DATE(2027,1,1)=DATE(2026,10,1),IF('Model inputs'!O45="","",'Model inputs'!O45),IF('Model inputs'!F11="","",'Model inputs'!F11)))+'Model inputs'!G42</f>
        <v>345.47048125000043</v>
      </c>
      <c r="H11" s="8">
        <f>IF(IF(DATE(2027,2,1)=DATE(2026,10,1),IF('Model inputs'!O45="","",'Model inputs'!O45),IF('Model inputs'!G11="","",'Model inputs'!G11))="",0,IF(DATE(2027,2,1)=DATE(2026,10,1),IF('Model inputs'!O45="","",'Model inputs'!O45),IF('Model inputs'!G11="","",'Model inputs'!G11)))+'Model inputs'!H42</f>
        <v>1137.0090641875008</v>
      </c>
      <c r="I11" s="8">
        <f>IF(IF(DATE(2027,3,1)=DATE(2026,10,1),IF('Model inputs'!O45="","",'Model inputs'!O45),IF('Model inputs'!H11="","",'Model inputs'!H11))="",0,IF(DATE(2027,3,1)=DATE(2026,10,1),IF('Model inputs'!O45="","",'Model inputs'!O45),IF('Model inputs'!H11="","",'Model inputs'!H11)))+'Model inputs'!I42</f>
        <v>2224.9219286781263</v>
      </c>
      <c r="J11" s="8">
        <f>IF(IF(DATE(2027,4,1)=DATE(2026,10,1),IF('Model inputs'!O45="","",'Model inputs'!O45),IF('Model inputs'!I11="","",'Model inputs'!I11))="",0,IF(DATE(2027,4,1)=DATE(2026,10,1),IF('Model inputs'!O45="","",'Model inputs'!O45),IF('Model inputs'!I11="","",'Model inputs'!I11)))+'Model inputs'!J42</f>
        <v>3630.2354817142204</v>
      </c>
      <c r="K11" s="8">
        <f>IF(IF(DATE(2027,5,1)=DATE(2026,10,1),IF('Model inputs'!O45="","",'Model inputs'!O45),IF('Model inputs'!J11="","",'Model inputs'!J11))="",0,IF(DATE(2027,5,1)=DATE(2026,10,1),IF('Model inputs'!O45="","",'Model inputs'!O45),IF('Model inputs'!J11="","",'Model inputs'!J11)))+'Model inputs'!K42</f>
        <v>5376.509322045511</v>
      </c>
      <c r="L11" s="8">
        <f>IF(IF(DATE(2027,6,1)=DATE(2026,10,1),IF('Model inputs'!O45="","",'Model inputs'!O45),IF('Model inputs'!K11="","",'Model inputs'!K11))="",0,IF(DATE(2027,6,1)=DATE(2026,10,1),IF('Model inputs'!O45="","",'Model inputs'!O45),IF('Model inputs'!K11="","",'Model inputs'!K11)))+'Model inputs'!L42</f>
        <v>7490.068031801937</v>
      </c>
      <c r="M11" s="8">
        <f>IF(IF(DATE(2027,7,1)=DATE(2026,10,1),IF('Model inputs'!O45="","",'Model inputs'!O45),IF('Model inputs'!L11="","",'Model inputs'!L11))="",0,IF(DATE(2027,7,1)=DATE(2026,10,1),IF('Model inputs'!O45="","",'Model inputs'!O45),IF('Model inputs'!L11="","",'Model inputs'!L11)))+'Model inputs'!M42</f>
        <v>10000.257223656412</v>
      </c>
      <c r="N11" s="8">
        <f>IF(IF(DATE(2027,8,1)=DATE(2026,10,1),IF('Model inputs'!O45="","",'Model inputs'!O45),IF('Model inputs'!M11="","",'Model inputs'!M11))="",0,IF(DATE(2027,8,1)=DATE(2026,10,1),IF('Model inputs'!O45="","",'Model inputs'!O45),IF('Model inputs'!M11="","",'Model inputs'!M11)))+'Model inputs'!N42</f>
        <v>12939.72621526262</v>
      </c>
    </row>
    <row r="12">
      <c r="A12" t="inlineStr" s="26">
        <is>
          <t xml:space="preserve">Closing cash · NeatRescue — Hackathon submission · 12-month scenario comparison — hypothetical · Bootstrap no-sales stress — hypothetical</t>
        </is>
      </c>
      <c r="B12" s="8">
        <f>IF(IF(DATE(2027,9,1)=DATE(2026,10,1),IF('Model inputs'!O46="","",'Model inputs'!O46),IF('Model inputs'!N12="","",'Model inputs'!N12))="",0,IF(DATE(2027,9,1)=DATE(2026,10,1),IF('Model inputs'!O46="","",'Model inputs'!O46),IF('Model inputs'!N12="","",'Model inputs'!N12)))+'Model inputs'!B43</f>
        <v>-600</v>
      </c>
      <c r="C12" s="8">
        <v>0</v>
      </c>
      <c r="D12" s="8">
        <f>IF(IF(DATE(2026,10,1)=DATE(2026,10,1),IF('Model inputs'!O46="","",'Model inputs'!O46),IF('Model inputs'!C12="","",'Model inputs'!C12))="",0,IF(DATE(2026,10,1)=DATE(2026,10,1),IF('Model inputs'!O46="","",'Model inputs'!O46),IF('Model inputs'!C12="","",'Model inputs'!C12)))+'Model inputs'!D43</f>
        <v>4350</v>
      </c>
      <c r="E12" s="8">
        <f>IF(IF(DATE(2026,11,1)=DATE(2026,10,1),IF('Model inputs'!O46="","",'Model inputs'!O46),IF('Model inputs'!D12="","",'Model inputs'!D12))="",0,IF(DATE(2026,11,1)=DATE(2026,10,1),IF('Model inputs'!O46="","",'Model inputs'!O46),IF('Model inputs'!D12="","",'Model inputs'!D12)))+'Model inputs'!E43</f>
        <v>3900</v>
      </c>
      <c r="F12" s="8">
        <f>IF(IF(DATE(2026,12,1)=DATE(2026,10,1),IF('Model inputs'!O46="","",'Model inputs'!O46),IF('Model inputs'!E12="","",'Model inputs'!E12))="",0,IF(DATE(2026,12,1)=DATE(2026,10,1),IF('Model inputs'!O46="","",'Model inputs'!O46),IF('Model inputs'!E12="","",'Model inputs'!E12)))+'Model inputs'!F43</f>
        <v>3450</v>
      </c>
      <c r="G12" s="8">
        <f>IF(IF(DATE(2027,1,1)=DATE(2026,10,1),IF('Model inputs'!O46="","",'Model inputs'!O46),IF('Model inputs'!F12="","",'Model inputs'!F12))="",0,IF(DATE(2027,1,1)=DATE(2026,10,1),IF('Model inputs'!O46="","",'Model inputs'!O46),IF('Model inputs'!F12="","",'Model inputs'!F12)))+'Model inputs'!G43</f>
        <v>3000</v>
      </c>
      <c r="H12" s="8">
        <f>IF(IF(DATE(2027,2,1)=DATE(2026,10,1),IF('Model inputs'!O46="","",'Model inputs'!O46),IF('Model inputs'!G12="","",'Model inputs'!G12))="",0,IF(DATE(2027,2,1)=DATE(2026,10,1),IF('Model inputs'!O46="","",'Model inputs'!O46),IF('Model inputs'!G12="","",'Model inputs'!G12)))+'Model inputs'!H43</f>
        <v>2550</v>
      </c>
      <c r="I12" s="8">
        <f>IF(IF(DATE(2027,3,1)=DATE(2026,10,1),IF('Model inputs'!O46="","",'Model inputs'!O46),IF('Model inputs'!H12="","",'Model inputs'!H12))="",0,IF(DATE(2027,3,1)=DATE(2026,10,1),IF('Model inputs'!O46="","",'Model inputs'!O46),IF('Model inputs'!H12="","",'Model inputs'!H12)))+'Model inputs'!I43</f>
        <v>2100</v>
      </c>
      <c r="J12" s="8">
        <f>IF(IF(DATE(2027,4,1)=DATE(2026,10,1),IF('Model inputs'!O46="","",'Model inputs'!O46),IF('Model inputs'!I12="","",'Model inputs'!I12))="",0,IF(DATE(2027,4,1)=DATE(2026,10,1),IF('Model inputs'!O46="","",'Model inputs'!O46),IF('Model inputs'!I12="","",'Model inputs'!I12)))+'Model inputs'!J43</f>
        <v>1650</v>
      </c>
      <c r="K12" s="8">
        <f>IF(IF(DATE(2027,5,1)=DATE(2026,10,1),IF('Model inputs'!O46="","",'Model inputs'!O46),IF('Model inputs'!J12="","",'Model inputs'!J12))="",0,IF(DATE(2027,5,1)=DATE(2026,10,1),IF('Model inputs'!O46="","",'Model inputs'!O46),IF('Model inputs'!J12="","",'Model inputs'!J12)))+'Model inputs'!K43</f>
        <v>1200</v>
      </c>
      <c r="L12" s="8">
        <f>IF(IF(DATE(2027,6,1)=DATE(2026,10,1),IF('Model inputs'!O46="","",'Model inputs'!O46),IF('Model inputs'!K12="","",'Model inputs'!K12))="",0,IF(DATE(2027,6,1)=DATE(2026,10,1),IF('Model inputs'!O46="","",'Model inputs'!O46),IF('Model inputs'!K12="","",'Model inputs'!K12)))+'Model inputs'!L43</f>
        <v>750</v>
      </c>
      <c r="M12" s="8">
        <f>IF(IF(DATE(2027,7,1)=DATE(2026,10,1),IF('Model inputs'!O46="","",'Model inputs'!O46),IF('Model inputs'!L12="","",'Model inputs'!L12))="",0,IF(DATE(2027,7,1)=DATE(2026,10,1),IF('Model inputs'!O46="","",'Model inputs'!O46),IF('Model inputs'!L12="","",'Model inputs'!L12)))+'Model inputs'!M43</f>
        <v>300</v>
      </c>
      <c r="N12" s="8">
        <f>IF(IF(DATE(2027,8,1)=DATE(2026,10,1),IF('Model inputs'!O46="","",'Model inputs'!O46),IF('Model inputs'!M12="","",'Model inputs'!M12))="",0,IF(DATE(2027,8,1)=DATE(2026,10,1),IF('Model inputs'!O46="","",'Model inputs'!O46),IF('Model inputs'!M12="","",'Model inputs'!M12)))+'Model inputs'!N43</f>
        <v>-150</v>
      </c>
    </row>
    <row r="13">
      <c r="A13" t="inlineStr" s="26">
        <is>
          <t xml:space="preserve">Closing cash · Growth</t>
        </is>
      </c>
      <c r="B13" s="8">
        <f>IF(IF(DATE(2027,9,1)=DATE(2026,10,1),IF('Model inputs'!O245="","",'Model inputs'!O245),IF('Model inputs'!N13="","",'Model inputs'!N13))="",0,IF(DATE(2027,9,1)=DATE(2026,10,1),IF('Model inputs'!O245="","",'Model inputs'!O245),IF('Model inputs'!N13="","",'Model inputs'!N13)))+'Model inputs'!B239</f>
        <v>50598.82504906194</v>
      </c>
      <c r="D13" s="8">
        <f>IF(IF(DATE(2026,10,1)=DATE(2026,10,1),IF('Model inputs'!O245="","",'Model inputs'!O245),IF('Model inputs'!C209="","",'Model inputs'!C209))="",0,IF(DATE(2026,10,1)=DATE(2026,10,1),IF('Model inputs'!O245="","",'Model inputs'!O245),IF('Model inputs'!C209="","",'Model inputs'!C209)))+'Model inputs'!D239</f>
        <v>-354.86</v>
      </c>
      <c r="E13" s="8">
        <f>IF(IF(DATE(2026,11,1)=DATE(2026,10,1),IF('Model inputs'!O245="","",'Model inputs'!O245),IF('Model inputs'!D13="","",'Model inputs'!D13))="",0,IF(DATE(2026,11,1)=DATE(2026,10,1),IF('Model inputs'!O245="","",'Model inputs'!O245),IF('Model inputs'!D13="","",'Model inputs'!D13)))+'Model inputs'!E239</f>
        <v>-11.163200000000074</v>
      </c>
      <c r="F13" s="8">
        <f>IF(IF(DATE(2026,12,1)=DATE(2026,10,1),IF('Model inputs'!O245="","",'Model inputs'!O245),IF('Model inputs'!E13="","",'Model inputs'!E13))="",0,IF(DATE(2026,12,1)=DATE(2026,10,1),IF('Model inputs'!O245="","",'Model inputs'!O245),IF('Model inputs'!E13="","",'Model inputs'!E13)))+'Model inputs'!F239</f>
        <v>892.9203459999995</v>
      </c>
      <c r="G13" s="8">
        <f>IF(IF(DATE(2027,1,1)=DATE(2026,10,1),IF('Model inputs'!O245="","",'Model inputs'!O245),IF('Model inputs'!F13="","",'Model inputs'!F13))="",0,IF(DATE(2027,1,1)=DATE(2026,10,1),IF('Model inputs'!O245="","",'Model inputs'!O245),IF('Model inputs'!F13="","",'Model inputs'!F13)))+'Model inputs'!G239</f>
        <v>2428.883683119999</v>
      </c>
      <c r="H13" s="8">
        <f>IF(IF(DATE(2027,2,1)=DATE(2026,10,1),IF('Model inputs'!O245="","",'Model inputs'!O245),IF('Model inputs'!G13="","",'Model inputs'!G13))="",0,IF(DATE(2027,2,1)=DATE(2026,10,1),IF('Model inputs'!O245="","",'Model inputs'!O245),IF('Model inputs'!G13="","",'Model inputs'!G13)))+'Model inputs'!H239</f>
        <v>4679.320762251398</v>
      </c>
      <c r="I13" s="8">
        <f>IF(IF(DATE(2027,3,1)=DATE(2026,10,1),IF('Model inputs'!O245="","",'Model inputs'!O245),IF('Model inputs'!H13="","",'Model inputs'!H13))="",0,IF(DATE(2027,3,1)=DATE(2026,10,1),IF('Model inputs'!O245="","",'Model inputs'!O245),IF('Model inputs'!H13="","",'Model inputs'!H13)))+'Model inputs'!I239</f>
        <v>7739.580267452606</v>
      </c>
      <c r="J13" s="8">
        <f>IF(IF(DATE(2027,4,1)=DATE(2026,10,1),IF('Model inputs'!O245="","",'Model inputs'!O245),IF('Model inputs'!I13="","",'Model inputs'!I13))="",0,IF(DATE(2027,4,1)=DATE(2026,10,1),IF('Model inputs'!O245="","",'Model inputs'!O245),IF('Model inputs'!I13="","",'Model inputs'!I13)))+'Model inputs'!J239</f>
        <v>11719.667856708089</v>
      </c>
      <c r="K13" s="8">
        <f>IF(IF(DATE(2027,5,1)=DATE(2026,10,1),IF('Model inputs'!O245="","",'Model inputs'!O245),IF('Model inputs'!J13="","",'Model inputs'!J13))="",0,IF(DATE(2027,5,1)=DATE(2026,10,1),IF('Model inputs'!O245="","",'Model inputs'!O245),IF('Model inputs'!J13="","",'Model inputs'!J13)))+'Model inputs'!K239</f>
        <v>16746.434067877766</v>
      </c>
      <c r="L13" s="8">
        <f>IF(IF(DATE(2027,6,1)=DATE(2026,10,1),IF('Model inputs'!O245="","",'Model inputs'!O245),IF('Model inputs'!K13="","",'Model inputs'!K13))="",0,IF(DATE(2027,6,1)=DATE(2026,10,1),IF('Model inputs'!O245="","",'Model inputs'!O245),IF('Model inputs'!K13="","",'Model inputs'!K13)))+'Model inputs'!L239</f>
        <v>22966.09072974299</v>
      </c>
      <c r="M13" s="8">
        <f>IF(IF(DATE(2027,7,1)=DATE(2026,10,1),IF('Model inputs'!O245="","",'Model inputs'!O245),IF('Model inputs'!L13="","",'Model inputs'!L13))="",0,IF(DATE(2027,7,1)=DATE(2026,10,1),IF('Model inputs'!O245="","",'Model inputs'!O245),IF('Model inputs'!L13="","",'Model inputs'!L13)))+'Model inputs'!M239</f>
        <v>30547.105144337493</v>
      </c>
      <c r="N13" s="8">
        <f>IF(IF(DATE(2027,8,1)=DATE(2026,10,1),IF('Model inputs'!O245="","",'Model inputs'!O245),IF('Model inputs'!M13="","",'Model inputs'!M13))="",0,IF(DATE(2027,8,1)=DATE(2026,10,1),IF('Model inputs'!O245="","",'Model inputs'!O245),IF('Model inputs'!M13="","",'Model inputs'!M13)))+'Model inputs'!N239</f>
        <v>39683.52869696717</v>
      </c>
    </row>
    <row r="14">
      <c r="A14" t="inlineStr" s="26">
        <is>
          <t xml:space="preserve">Closing cash · NeatRescue — Hackathon submission · 12-month scenario comparison — hypothetical · Bootstrap $5,000 — hypothetical</t>
        </is>
      </c>
      <c r="B14" s="8">
        <f>IF(IF(DATE(2027,9,1)=DATE(2026,10,1),IF('Model inputs'!O47="","",'Model inputs'!O47),IF('Model inputs'!N14="","",'Model inputs'!N14))="",0,IF(DATE(2027,9,1)=DATE(2026,10,1),IF('Model inputs'!O47="","",'Model inputs'!O47),IF('Model inputs'!N14="","",'Model inputs'!N14)))+'Model inputs'!B44</f>
        <v>21344.739942567423</v>
      </c>
      <c r="C14" s="8">
        <v>0</v>
      </c>
      <c r="D14" s="8">
        <f>IF(IF(DATE(2026,10,1)=DATE(2026,10,1),IF('Model inputs'!O47="","",'Model inputs'!O47),IF('Model inputs'!C14="","",'Model inputs'!C14))="",0,IF(DATE(2026,10,1)=DATE(2026,10,1),IF('Model inputs'!O47="","",'Model inputs'!O47),IF('Model inputs'!C14="","",'Model inputs'!C14)))+'Model inputs'!D44</f>
        <v>4572.57</v>
      </c>
      <c r="E14" s="8">
        <f>IF(IF(DATE(2026,11,1)=DATE(2026,10,1),IF('Model inputs'!O47="","",'Model inputs'!O47),IF('Model inputs'!D14="","",'Model inputs'!D14))="",0,IF(DATE(2026,11,1)=DATE(2026,10,1),IF('Model inputs'!O47="","",'Model inputs'!O47),IF('Model inputs'!D14="","",'Model inputs'!D14)))+'Model inputs'!E44</f>
        <v>4578.8385</v>
      </c>
      <c r="F14" s="8">
        <f>IF(IF(DATE(2026,12,1)=DATE(2026,10,1),IF('Model inputs'!O47="","",'Model inputs'!O47),IF('Model inputs'!E14="","",'Model inputs'!E14))="",0,IF(DATE(2026,12,1)=DATE(2026,10,1),IF('Model inputs'!O47="","",'Model inputs'!O47),IF('Model inputs'!E14="","",'Model inputs'!E14)))+'Model inputs'!F44</f>
        <v>4831.6032749999995</v>
      </c>
      <c r="G14" s="8">
        <f>IF(IF(DATE(2027,1,1)=DATE(2026,10,1),IF('Model inputs'!O47="","",'Model inputs'!O47),IF('Model inputs'!F14="","",'Model inputs'!F14))="",0,IF(DATE(2027,1,1)=DATE(2026,10,1),IF('Model inputs'!O47="","",'Model inputs'!O47),IF('Model inputs'!F14="","",'Model inputs'!F14)))+'Model inputs'!G44</f>
        <v>5345.4704812499995</v>
      </c>
      <c r="H14" s="8">
        <f>IF(IF(DATE(2027,2,1)=DATE(2026,10,1),IF('Model inputs'!O47="","",'Model inputs'!O47),IF('Model inputs'!G14="","",'Model inputs'!G14))="",0,IF(DATE(2027,2,1)=DATE(2026,10,1),IF('Model inputs'!O47="","",'Model inputs'!O47),IF('Model inputs'!G14="","",'Model inputs'!G14)))+'Model inputs'!H44</f>
        <v>6137.0090641874995</v>
      </c>
      <c r="I14" s="8">
        <f>IF(IF(DATE(2027,3,1)=DATE(2026,10,1),IF('Model inputs'!O47="","",'Model inputs'!O47),IF('Model inputs'!H14="","",'Model inputs'!H14))="",0,IF(DATE(2027,3,1)=DATE(2026,10,1),IF('Model inputs'!O47="","",'Model inputs'!O47),IF('Model inputs'!H14="","",'Model inputs'!H14)))+'Model inputs'!I44</f>
        <v>7224.921928678125</v>
      </c>
      <c r="J14" s="8">
        <f>IF(IF(DATE(2027,4,1)=DATE(2026,10,1),IF('Model inputs'!O47="","",'Model inputs'!O47),IF('Model inputs'!I14="","",'Model inputs'!I14))="",0,IF(DATE(2027,4,1)=DATE(2026,10,1),IF('Model inputs'!O47="","",'Model inputs'!O47),IF('Model inputs'!I14="","",'Model inputs'!I14)))+'Model inputs'!J44</f>
        <v>8630.235481714219</v>
      </c>
      <c r="K14" s="8">
        <f>IF(IF(DATE(2027,5,1)=DATE(2026,10,1),IF('Model inputs'!O47="","",'Model inputs'!O47),IF('Model inputs'!J14="","",'Model inputs'!J14))="",0,IF(DATE(2027,5,1)=DATE(2026,10,1),IF('Model inputs'!O47="","",'Model inputs'!O47),IF('Model inputs'!J14="","",'Model inputs'!J14)))+'Model inputs'!K44</f>
        <v>10376.50932204551</v>
      </c>
      <c r="L14" s="8">
        <f>IF(IF(DATE(2027,6,1)=DATE(2026,10,1),IF('Model inputs'!O47="","",'Model inputs'!O47),IF('Model inputs'!K14="","",'Model inputs'!K14))="",0,IF(DATE(2027,6,1)=DATE(2026,10,1),IF('Model inputs'!O47="","",'Model inputs'!O47),IF('Model inputs'!K14="","",'Model inputs'!K14)))+'Model inputs'!L44</f>
        <v>12490.068031801935</v>
      </c>
      <c r="M14" s="8">
        <f>IF(IF(DATE(2027,7,1)=DATE(2026,10,1),IF('Model inputs'!O47="","",'Model inputs'!O47),IF('Model inputs'!L14="","",'Model inputs'!L14))="",0,IF(DATE(2027,7,1)=DATE(2026,10,1),IF('Model inputs'!O47="","",'Model inputs'!O47),IF('Model inputs'!L14="","",'Model inputs'!L14)))+'Model inputs'!M44</f>
        <v>15000.25722365641</v>
      </c>
      <c r="N14" s="8">
        <f>IF(IF(DATE(2027,8,1)=DATE(2026,10,1),IF('Model inputs'!O47="","",'Model inputs'!O47),IF('Model inputs'!M14="","",'Model inputs'!M14))="",0,IF(DATE(2027,8,1)=DATE(2026,10,1),IF('Model inputs'!O47="","",'Model inputs'!O47),IF('Model inputs'!M14="","",'Model inputs'!M14)))+'Model inputs'!N44</f>
        <v>17939.72621526262</v>
      </c>
    </row>
    <row r="15">
      <c r="A15" t="inlineStr" s="26">
        <is>
          <t xml:space="preserve">Closing cash · Conservative</t>
        </is>
      </c>
      <c r="B15" s="8">
        <f>IF(IF(DATE(2027,9,1)=DATE(2026,10,1),IF('Model inputs'!O246="","",'Model inputs'!O246),IF('Model inputs'!N15="","",'Model inputs'!N15))="",0,IF(DATE(2027,9,1)=DATE(2026,10,1),IF('Model inputs'!O246="","",'Model inputs'!O246),IF('Model inputs'!N15="","",'Model inputs'!N15)))+'Model inputs'!B240</f>
        <v>320.458634542143</v>
      </c>
      <c r="D15" s="8">
        <f>IF(IF(DATE(2026,10,1)=DATE(2026,10,1),IF('Model inputs'!O246="","",'Model inputs'!O246),IF('Model inputs'!C210="","",'Model inputs'!C210))="",0,IF(DATE(2026,10,1)=DATE(2026,10,1),IF('Model inputs'!O246="","",'Model inputs'!O246),IF('Model inputs'!C210="","",'Model inputs'!C210)))+'Model inputs'!D240</f>
        <v>-499.8225</v>
      </c>
      <c r="E15" s="8">
        <f>IF(IF(DATE(2026,11,1)=DATE(2026,10,1),IF('Model inputs'!O246="","",'Model inputs'!O246),IF('Model inputs'!D15="","",'Model inputs'!D15))="",0,IF(DATE(2026,11,1)=DATE(2026,10,1),IF('Model inputs'!O246="","",'Model inputs'!O246),IF('Model inputs'!D15="","",'Model inputs'!D15)))+'Model inputs'!E240</f>
        <v>-728.226375</v>
      </c>
      <c r="F15" s="8">
        <f>IF(IF(DATE(2026,12,1)=DATE(2026,10,1),IF('Model inputs'!O246="","",'Model inputs'!O246),IF('Model inputs'!E15="","",'Model inputs'!E15))="",0,IF(DATE(2026,12,1)=DATE(2026,10,1),IF('Model inputs'!O246="","",'Model inputs'!O246),IF('Model inputs'!E15="","",'Model inputs'!E15)))+'Model inputs'!F240</f>
        <v>-888.6021302499998</v>
      </c>
      <c r="G15" s="8">
        <f>IF(IF(DATE(2027,1,1)=DATE(2026,10,1),IF('Model inputs'!O246="","",'Model inputs'!O246),IF('Model inputs'!F15="","",'Model inputs'!F15))="",0,IF(DATE(2027,1,1)=DATE(2026,10,1),IF('Model inputs'!O246="","",'Model inputs'!O246),IF('Model inputs'!F15="","",'Model inputs'!F15)))+'Model inputs'!G240</f>
        <v>-983.9993410374998</v>
      </c>
      <c r="H15" s="8">
        <f>IF(IF(DATE(2027,2,1)=DATE(2026,10,1),IF('Model inputs'!O246="","",'Model inputs'!O246),IF('Model inputs'!G15="","",'Model inputs'!G15))="",0,IF(DATE(2027,2,1)=DATE(2026,10,1),IF('Model inputs'!O246="","",'Model inputs'!O246),IF('Model inputs'!G15="","",'Model inputs'!G15)))+'Model inputs'!H240</f>
        <v>-1017.1518363982248</v>
      </c>
      <c r="I15" s="8">
        <f>IF(IF(DATE(2027,3,1)=DATE(2026,10,1),IF('Model inputs'!O246="","",'Model inputs'!O246),IF('Model inputs'!H15="","",'Model inputs'!H15))="",0,IF(DATE(2027,3,1)=DATE(2026,10,1),IF('Model inputs'!O246="","",'Model inputs'!O246),IF('Model inputs'!H15="","",'Model inputs'!H15)))+'Model inputs'!I240</f>
        <v>-990.5008054094035</v>
      </c>
      <c r="J15" s="8">
        <f>IF(IF(DATE(2027,4,1)=DATE(2026,10,1),IF('Model inputs'!O246="","",'Model inputs'!O246),IF('Model inputs'!I15="","",'Model inputs'!I15))="",0,IF(DATE(2027,4,1)=DATE(2026,10,1),IF('Model inputs'!O246="","",'Model inputs'!O246),IF('Model inputs'!I15="","",'Model inputs'!I15)))+'Model inputs'!J240</f>
        <v>-906.215990377379</v>
      </c>
      <c r="K15" s="8">
        <f>IF(IF(DATE(2027,5,1)=DATE(2026,10,1),IF('Model inputs'!O246="","",'Model inputs'!O246),IF('Model inputs'!J15="","",'Model inputs'!J15))="",0,IF(DATE(2027,5,1)=DATE(2026,10,1),IF('Model inputs'!O246="","",'Model inputs'!O246),IF('Model inputs'!J15="","",'Model inputs'!J15)))+'Model inputs'!K240</f>
        <v>-766.2151180299384</v>
      </c>
      <c r="L15" s="8">
        <f>IF(IF(DATE(2027,6,1)=DATE(2026,10,1),IF('Model inputs'!O246="","",'Model inputs'!O246),IF('Model inputs'!K15="","",'Model inputs'!K15))="",0,IF(DATE(2027,6,1)=DATE(2026,10,1),IF('Model inputs'!O246="","",'Model inputs'!O246),IF('Model inputs'!K15="","",'Model inputs'!K15)))+'Model inputs'!L240</f>
        <v>-572.1817076767754</v>
      </c>
      <c r="M15" s="8">
        <f>IF(IF(DATE(2027,7,1)=DATE(2026,10,1),IF('Model inputs'!O246="","",'Model inputs'!O246),IF('Model inputs'!L15="","",'Model inputs'!L15))="",0,IF(DATE(2027,7,1)=DATE(2026,10,1),IF('Model inputs'!O246="","",'Model inputs'!O246),IF('Model inputs'!L15="","",'Model inputs'!L15)))+'Model inputs'!M240</f>
        <v>-325.5813841245424</v>
      </c>
      <c r="N15" s="8">
        <f>IF(IF(DATE(2027,8,1)=DATE(2026,10,1),IF('Model inputs'!O246="","",'Model inputs'!O246),IF('Model inputs'!M15="","",'Model inputs'!M15))="",0,IF(DATE(2027,8,1)=DATE(2026,10,1),IF('Model inputs'!O246="","",'Model inputs'!O246),IF('Model inputs'!M15="","",'Model inputs'!M15)))+'Model inputs'!N240</f>
        <v>-27.676812848345378</v>
      </c>
    </row>
    <row r="16">
      <c r="A16" t="inlineStr" s="26">
        <is>
          <t xml:space="preserve">Closing customers · by  · NeatRescue — Hackathon submission · 12-month scenario comparison — hypothetical · Main Scenario</t>
        </is>
      </c>
      <c r="B16" s="9">
        <f>SUM('Model inputs'!B18,'Model inputs'!B19)</f>
        <v>51.96136578116731</v>
      </c>
      <c r="C16" s="9">
        <f>SUM('Model inputs'!C18,'Model inputs'!C19)</f>
        <v>0</v>
      </c>
      <c r="D16" s="9">
        <f>SUM('Model inputs'!D18,'Model inputs'!D19)</f>
        <v>3</v>
      </c>
      <c r="E16" s="9">
        <f>SUM('Model inputs'!E18,'Model inputs'!E19)</f>
        <v>6.15</v>
      </c>
      <c r="F16" s="9">
        <f>SUM('Model inputs'!F18,'Model inputs'!F19)</f>
        <v>9.472500000000002</v>
      </c>
      <c r="G16" s="9">
        <f>SUM('Model inputs'!G18,'Model inputs'!G19)</f>
        <v>12.991875000000004</v>
      </c>
      <c r="H16" s="9">
        <f>SUM('Model inputs'!H18,'Model inputs'!H19)</f>
        <v>16.734581250000005</v>
      </c>
      <c r="I16" s="9">
        <f>SUM('Model inputs'!I18,'Model inputs'!I19)</f>
        <v>20.729382187500008</v>
      </c>
      <c r="J16" s="9">
        <f>SUM('Model inputs'!J18,'Model inputs'!J19)</f>
        <v>25.007596078125008</v>
      </c>
      <c r="K16" s="9">
        <f>SUM('Model inputs'!K18,'Model inputs'!K19)</f>
        <v>29.603367574218765</v>
      </c>
      <c r="L16" s="9">
        <f>SUM('Model inputs'!L18,'Model inputs'!L19)</f>
        <v>34.55396562550783</v>
      </c>
      <c r="M16" s="9">
        <f>SUM('Model inputs'!M18,'Model inputs'!M19)</f>
        <v>39.90011041723245</v>
      </c>
      <c r="N16" s="9">
        <f>SUM('Model inputs'!N18,'Model inputs'!N19)</f>
        <v>45.68633227667084</v>
      </c>
    </row>
    <row r="17">
      <c r="A17" t="inlineStr" s="26">
        <is>
          <t xml:space="preserve">Closing customers</t>
        </is>
      </c>
      <c r="B17" s="6">
        <f>IF('Model inputs'!B16="","",'Model inputs'!B16)</f>
        <v>51.96136578116731</v>
      </c>
      <c r="C17" s="6">
        <f>IF('Model inputs'!C16="","",'Model inputs'!C16)</f>
        <v>0</v>
      </c>
      <c r="D17" s="6">
        <f>IF('Model inputs'!D16="","",'Model inputs'!D16)</f>
        <v>3</v>
      </c>
      <c r="E17" s="6">
        <f>IF('Model inputs'!E16="","",'Model inputs'!E16)</f>
        <v>6.15</v>
      </c>
      <c r="F17" s="6">
        <f>IF('Model inputs'!F16="","",'Model inputs'!F16)</f>
        <v>9.472500000000002</v>
      </c>
      <c r="G17" s="6">
        <f>IF('Model inputs'!G16="","",'Model inputs'!G16)</f>
        <v>12.991875000000004</v>
      </c>
      <c r="H17" s="6">
        <f>IF('Model inputs'!H16="","",'Model inputs'!H16)</f>
        <v>16.734581250000005</v>
      </c>
      <c r="I17" s="6">
        <f>IF('Model inputs'!I16="","",'Model inputs'!I16)</f>
        <v>20.729382187500008</v>
      </c>
      <c r="J17" s="6">
        <f>IF('Model inputs'!J16="","",'Model inputs'!J16)</f>
        <v>25.007596078125008</v>
      </c>
      <c r="K17" s="6">
        <f>IF('Model inputs'!K16="","",'Model inputs'!K16)</f>
        <v>29.603367574218765</v>
      </c>
      <c r="L17" s="6">
        <f>IF('Model inputs'!L16="","",'Model inputs'!L16)</f>
        <v>34.55396562550783</v>
      </c>
      <c r="M17" s="6">
        <f>IF('Model inputs'!M16="","",'Model inputs'!M16)</f>
        <v>39.90011041723245</v>
      </c>
      <c r="N17" s="6">
        <f>IF('Model inputs'!N16="","",'Model inputs'!N16)</f>
        <v>45.68633227667084</v>
      </c>
    </row>
    <row r="18" outlineLevel="1">
      <c r="A18" t="inlineStr" s="27">
        <is>
          <t xml:space="preserve">Closing customers &gt; Starter</t>
        </is>
      </c>
      <c r="B18" s="9">
        <f>'Model inputs'!B110+'Model inputs'!B106-'Model inputs'!B100</f>
        <v>34.640910520778206</v>
      </c>
      <c r="C18" s="9">
        <f>0</f>
        <v>0</v>
      </c>
      <c r="D18" s="9">
        <f>'Model inputs'!D110+'Model inputs'!D106-'Model inputs'!D100</f>
        <v>2</v>
      </c>
      <c r="E18" s="9">
        <f>'Model inputs'!E110+'Model inputs'!E106-'Model inputs'!E100</f>
        <v>4.1000000000000005</v>
      </c>
      <c r="F18" s="9">
        <f>'Model inputs'!F110+'Model inputs'!F106-'Model inputs'!F100</f>
        <v>6.315000000000001</v>
      </c>
      <c r="G18" s="9">
        <f>'Model inputs'!G110+'Model inputs'!G106-'Model inputs'!G100</f>
        <v>8.661250000000003</v>
      </c>
      <c r="H18" s="9">
        <f>'Model inputs'!H110+'Model inputs'!H106-'Model inputs'!H100</f>
        <v>11.156387500000003</v>
      </c>
      <c r="I18" s="9">
        <f>'Model inputs'!I110+'Model inputs'!I106-'Model inputs'!I100</f>
        <v>13.819588125000005</v>
      </c>
      <c r="J18" s="9">
        <f>'Model inputs'!J110+'Model inputs'!J106-'Model inputs'!J100</f>
        <v>16.671730718750005</v>
      </c>
      <c r="K18" s="9">
        <f>'Model inputs'!K110+'Model inputs'!K106-'Model inputs'!K100</f>
        <v>19.73557838281251</v>
      </c>
      <c r="L18" s="9">
        <f>'Model inputs'!L110+'Model inputs'!L106-'Model inputs'!L100</f>
        <v>23.035977083671888</v>
      </c>
      <c r="M18" s="9">
        <f>'Model inputs'!M110+'Model inputs'!M106-'Model inputs'!M100</f>
        <v>26.6000736114883</v>
      </c>
      <c r="N18" s="9">
        <f>'Model inputs'!N110+'Model inputs'!N106-'Model inputs'!N100</f>
        <v>30.45755485111389</v>
      </c>
    </row>
    <row r="19" outlineLevel="1">
      <c r="A19" t="inlineStr" s="27">
        <is>
          <t xml:space="preserve">Closing customers &gt; Team</t>
        </is>
      </c>
      <c r="B19" s="9">
        <f>'Model inputs'!B111+'Model inputs'!B107-'Model inputs'!B101</f>
        <v>17.320455260389103</v>
      </c>
      <c r="C19" s="9">
        <f>0</f>
        <v>0</v>
      </c>
      <c r="D19" s="9">
        <f>'Model inputs'!D111+'Model inputs'!D107-'Model inputs'!D101</f>
        <v>1</v>
      </c>
      <c r="E19" s="9">
        <f>'Model inputs'!E111+'Model inputs'!E107-'Model inputs'!E101</f>
        <v>2.0500000000000003</v>
      </c>
      <c r="F19" s="9">
        <f>'Model inputs'!F111+'Model inputs'!F107-'Model inputs'!F101</f>
        <v>3.1575000000000006</v>
      </c>
      <c r="G19" s="9">
        <f>'Model inputs'!G111+'Model inputs'!G107-'Model inputs'!G101</f>
        <v>4.330625000000001</v>
      </c>
      <c r="H19" s="9">
        <f>'Model inputs'!H111+'Model inputs'!H107-'Model inputs'!H101</f>
        <v>5.578193750000001</v>
      </c>
      <c r="I19" s="9">
        <f>'Model inputs'!I111+'Model inputs'!I107-'Model inputs'!I101</f>
        <v>6.909794062500002</v>
      </c>
      <c r="J19" s="9">
        <f>'Model inputs'!J111+'Model inputs'!J107-'Model inputs'!J101</f>
        <v>8.335865359375003</v>
      </c>
      <c r="K19" s="9">
        <f>'Model inputs'!K111+'Model inputs'!K107-'Model inputs'!K101</f>
        <v>9.867789191406255</v>
      </c>
      <c r="L19" s="9">
        <f>'Model inputs'!L111+'Model inputs'!L107-'Model inputs'!L101</f>
        <v>11.517988541835944</v>
      </c>
      <c r="M19" s="9">
        <f>'Model inputs'!M111+'Model inputs'!M107-'Model inputs'!M101</f>
        <v>13.30003680574415</v>
      </c>
      <c r="N19" s="9">
        <f>'Model inputs'!N111+'Model inputs'!N107-'Model inputs'!N101</f>
        <v>15.228777425556945</v>
      </c>
    </row>
    <row r="20">
      <c r="A20" t="inlineStr" s="26">
        <is>
          <t xml:space="preserve">Closing customers · Bootstrap no-sales stress — hypothetical</t>
        </is>
      </c>
      <c r="B20" s="9">
        <f>SUM('Model inputs'!B212,'Model inputs'!B213)</f>
        <v>0</v>
      </c>
      <c r="C20" s="9">
        <f>SUM('Model inputs'!C212,'Model inputs'!C213)</f>
        <v>0</v>
      </c>
      <c r="D20" s="9">
        <f>SUM('Model inputs'!D212,'Model inputs'!D213)</f>
        <v>0</v>
      </c>
      <c r="E20" s="9">
        <f>SUM('Model inputs'!E212,'Model inputs'!E213)</f>
        <v>0</v>
      </c>
      <c r="F20" s="9">
        <f>SUM('Model inputs'!F212,'Model inputs'!F213)</f>
        <v>0</v>
      </c>
      <c r="G20" s="9">
        <f>SUM('Model inputs'!G212,'Model inputs'!G213)</f>
        <v>0</v>
      </c>
      <c r="H20" s="9">
        <f>SUM('Model inputs'!H212,'Model inputs'!H213)</f>
        <v>0</v>
      </c>
      <c r="I20" s="9">
        <f>SUM('Model inputs'!I212,'Model inputs'!I213)</f>
        <v>0</v>
      </c>
      <c r="J20" s="9">
        <f>SUM('Model inputs'!J212,'Model inputs'!J213)</f>
        <v>0</v>
      </c>
      <c r="K20" s="9">
        <f>SUM('Model inputs'!K212,'Model inputs'!K213)</f>
        <v>0</v>
      </c>
      <c r="L20" s="9">
        <f>SUM('Model inputs'!L212,'Model inputs'!L213)</f>
        <v>0</v>
      </c>
      <c r="M20" s="9">
        <f>SUM('Model inputs'!M212,'Model inputs'!M213)</f>
        <v>0</v>
      </c>
      <c r="N20" s="9">
        <f>SUM('Model inputs'!N212,'Model inputs'!N213)</f>
        <v>0</v>
      </c>
    </row>
    <row r="21">
      <c r="A21" t="inlineStr" s="26">
        <is>
          <t xml:space="preserve">Closing customers · Growth</t>
        </is>
      </c>
      <c r="B21" s="9">
        <f>SUM('Model inputs'!B215,'Model inputs'!B216)</f>
        <v>155.21359148260902</v>
      </c>
      <c r="D21" s="9">
        <f>SUM('Model inputs'!D215,'Model inputs'!D216)</f>
        <v>6</v>
      </c>
      <c r="E21" s="9">
        <f>SUM('Model inputs'!E215,'Model inputs'!E216)</f>
        <v>12.72</v>
      </c>
      <c r="F21" s="9">
        <f>SUM('Model inputs'!F215,'Model inputs'!F216)</f>
        <v>20.2734</v>
      </c>
      <c r="G21" s="9">
        <f>SUM('Model inputs'!G215,'Model inputs'!G216)</f>
        <v>28.790447999999998</v>
      </c>
      <c r="H21" s="9">
        <f>SUM('Model inputs'!H215,'Model inputs'!H216)</f>
        <v>38.42077206</v>
      </c>
      <c r="I21" s="9">
        <f>SUM('Model inputs'!I215,'Model inputs'!I216)</f>
        <v>49.33629202319999</v>
      </c>
      <c r="J21" s="9">
        <f>SUM('Model inputs'!J215,'Model inputs'!J216)</f>
        <v>61.73456785625399</v>
      </c>
      <c r="K21" s="9">
        <f>SUM('Model inputs'!K215,'Model inputs'!K216)</f>
        <v>75.84265010337886</v>
      </c>
      <c r="L21" s="9">
        <f>SUM('Model inputs'!L215,'Model inputs'!L216)</f>
        <v>91.92150777551186</v>
      </c>
      <c r="M21" s="9">
        <f>SUM('Model inputs'!M215,'Model inputs'!M216)</f>
        <v>110.27112029376602</v>
      </c>
      <c r="N21" s="9">
        <f>SUM('Model inputs'!N215,'Model inputs'!N216)</f>
        <v>131.23633309920046</v>
      </c>
    </row>
    <row r="22">
      <c r="A22" t="inlineStr" s="26">
        <is>
          <t xml:space="preserve">Closing customers · Bootstrap $5,000 — hypothetical</t>
        </is>
      </c>
      <c r="B22" s="9">
        <f>SUM('Model inputs'!B218,'Model inputs'!B219)</f>
        <v>51.96136578116731</v>
      </c>
      <c r="C22" s="9">
        <f>SUM('Model inputs'!C218,'Model inputs'!C219)</f>
        <v>0</v>
      </c>
      <c r="D22" s="9">
        <f>SUM('Model inputs'!D218,'Model inputs'!D219)</f>
        <v>3</v>
      </c>
      <c r="E22" s="9">
        <f>SUM('Model inputs'!E218,'Model inputs'!E219)</f>
        <v>6.15</v>
      </c>
      <c r="F22" s="9">
        <f>SUM('Model inputs'!F218,'Model inputs'!F219)</f>
        <v>9.472500000000002</v>
      </c>
      <c r="G22" s="9">
        <f>SUM('Model inputs'!G218,'Model inputs'!G219)</f>
        <v>12.991875000000004</v>
      </c>
      <c r="H22" s="9">
        <f>SUM('Model inputs'!H218,'Model inputs'!H219)</f>
        <v>16.734581250000005</v>
      </c>
      <c r="I22" s="9">
        <f>SUM('Model inputs'!I218,'Model inputs'!I219)</f>
        <v>20.729382187500008</v>
      </c>
      <c r="J22" s="9">
        <f>SUM('Model inputs'!J218,'Model inputs'!J219)</f>
        <v>25.007596078125008</v>
      </c>
      <c r="K22" s="9">
        <f>SUM('Model inputs'!K218,'Model inputs'!K219)</f>
        <v>29.603367574218765</v>
      </c>
      <c r="L22" s="9">
        <f>SUM('Model inputs'!L218,'Model inputs'!L219)</f>
        <v>34.55396562550783</v>
      </c>
      <c r="M22" s="9">
        <f>SUM('Model inputs'!M218,'Model inputs'!M219)</f>
        <v>39.90011041723245</v>
      </c>
      <c r="N22" s="9">
        <f>SUM('Model inputs'!N218,'Model inputs'!N219)</f>
        <v>45.68633227667084</v>
      </c>
    </row>
    <row r="23">
      <c r="A23" t="inlineStr" s="26">
        <is>
          <t xml:space="preserve">Closing customers · Conservative</t>
        </is>
      </c>
      <c r="B23" s="9">
        <f>SUM('Model inputs'!B221,'Model inputs'!B222)</f>
        <v>12.023801127173828</v>
      </c>
      <c r="D23" s="9">
        <f>SUM('Model inputs'!D221,'Model inputs'!D222)</f>
        <v>1.25</v>
      </c>
      <c r="E23" s="9">
        <f>SUM('Model inputs'!E221,'Model inputs'!E222)</f>
        <v>2.4375</v>
      </c>
      <c r="F23" s="9">
        <f>SUM('Model inputs'!F221,'Model inputs'!F222)</f>
        <v>3.5686250000000004</v>
      </c>
      <c r="G23" s="9">
        <f>SUM('Model inputs'!G221,'Model inputs'!G222)</f>
        <v>4.649043750000001</v>
      </c>
      <c r="H23" s="9">
        <f>SUM('Model inputs'!H221,'Model inputs'!H222)</f>
        <v>5.6840062625000005</v>
      </c>
      <c r="I23" s="9">
        <f>SUM('Model inputs'!I221,'Model inputs'!I222)</f>
        <v>6.678378354375001</v>
      </c>
      <c r="J23" s="9">
        <f>SUM('Model inputs'!J221,'Model inputs'!J222)</f>
        <v>7.636673456686251</v>
      </c>
      <c r="K23" s="9">
        <f>SUM('Model inputs'!K221,'Model inputs'!K222)</f>
        <v>8.563081911932438</v>
      </c>
      <c r="L23" s="9">
        <f>SUM('Model inputs'!L221,'Model inputs'!L222)</f>
        <v>9.461497960712363</v>
      </c>
      <c r="M23" s="9">
        <f>SUM('Model inputs'!M221,'Model inputs'!M222)</f>
        <v>10.335544603641932</v>
      </c>
      <c r="N23" s="9">
        <f>SUM('Model inputs'!N221,'Model inputs'!N222)</f>
        <v>11.18859650953073</v>
      </c>
    </row>
    <row r="24">
      <c r="A24" t="inlineStr" s="26">
        <is>
          <t xml:space="preserve">Cost of revenue · NeatRescue — Hackathon submission · 12-month scenario comparison — hypothetical · Main Scenario</t>
        </is>
      </c>
      <c r="B24" s="8">
        <f>'Model inputs'!B116+'Model inputs'!B103</f>
        <v>1929.8524112800994</v>
      </c>
      <c r="C24" s="8">
        <v>0</v>
      </c>
      <c r="D24" s="8">
        <f>'Model inputs'!D116+'Model inputs'!D103</f>
        <v>323.43</v>
      </c>
      <c r="E24" s="8">
        <f>'Model inputs'!E116+'Model inputs'!E103</f>
        <v>426.78150000000005</v>
      </c>
      <c r="F24" s="8">
        <f>'Model inputs'!F116+'Model inputs'!F103</f>
        <v>535.792725</v>
      </c>
      <c r="G24" s="8">
        <f>'Model inputs'!G116+'Model inputs'!G103</f>
        <v>651.2634187500001</v>
      </c>
      <c r="H24" s="8">
        <f>'Model inputs'!H116+'Model inputs'!H103</f>
        <v>774.0616108125001</v>
      </c>
      <c r="I24" s="8">
        <f>'Model inputs'!I116+'Model inputs'!I103</f>
        <v>905.1310295718752</v>
      </c>
      <c r="J24" s="8">
        <f>'Model inputs'!J116+'Model inputs'!J103</f>
        <v>1045.4992273232815</v>
      </c>
      <c r="K24" s="8">
        <f>'Model inputs'!K116+'Model inputs'!K103</f>
        <v>1196.2864901101175</v>
      </c>
      <c r="L24" s="8">
        <f>'Model inputs'!L116+'Model inputs'!L103</f>
        <v>1358.715612172912</v>
      </c>
      <c r="M24" s="8">
        <f>'Model inputs'!M116+'Model inputs'!M103</f>
        <v>1534.1226227893965</v>
      </c>
      <c r="N24" s="8">
        <f>'Model inputs'!N116+'Model inputs'!N103</f>
        <v>1723.9685619975703</v>
      </c>
    </row>
    <row r="25">
      <c r="A25" t="inlineStr" s="26">
        <is>
          <t xml:space="preserve">Cost of revenue · Bootstrap no-sales stress — hypothetical</t>
        </is>
      </c>
      <c r="B25" s="8">
        <f>'Model inputs'!B278+'Model inputs'!B227</f>
        <v>225</v>
      </c>
      <c r="C25" s="8">
        <v>0</v>
      </c>
      <c r="D25" s="8">
        <f>'Model inputs'!D278+'Model inputs'!D227</f>
        <v>225</v>
      </c>
      <c r="E25" s="8">
        <f>'Model inputs'!E278+'Model inputs'!E227</f>
        <v>225</v>
      </c>
      <c r="F25" s="8">
        <f>'Model inputs'!F278+'Model inputs'!F227</f>
        <v>225</v>
      </c>
      <c r="G25" s="8">
        <f>'Model inputs'!G278+'Model inputs'!G227</f>
        <v>225</v>
      </c>
      <c r="H25" s="8">
        <f>'Model inputs'!H278+'Model inputs'!H227</f>
        <v>225</v>
      </c>
      <c r="I25" s="8">
        <f>'Model inputs'!I278+'Model inputs'!I227</f>
        <v>225</v>
      </c>
      <c r="J25" s="8">
        <f>'Model inputs'!J278+'Model inputs'!J227</f>
        <v>225</v>
      </c>
      <c r="K25" s="8">
        <f>'Model inputs'!K278+'Model inputs'!K227</f>
        <v>225</v>
      </c>
      <c r="L25" s="8">
        <f>'Model inputs'!L278+'Model inputs'!L227</f>
        <v>225</v>
      </c>
      <c r="M25" s="8">
        <f>'Model inputs'!M278+'Model inputs'!M227</f>
        <v>225</v>
      </c>
      <c r="N25" s="8">
        <f>'Model inputs'!N278+'Model inputs'!N227</f>
        <v>225</v>
      </c>
    </row>
    <row r="26">
      <c r="A26" t="inlineStr" s="26">
        <is>
          <t xml:space="preserve">Cost of revenue · Growth</t>
        </is>
      </c>
      <c r="B26" s="8">
        <f>'Model inputs'!B279+'Model inputs'!B228</f>
        <v>5317.557936544402</v>
      </c>
      <c r="D26" s="8">
        <f>'Model inputs'!D279+'Model inputs'!D228</f>
        <v>421.86</v>
      </c>
      <c r="E26" s="8">
        <f>'Model inputs'!E279+'Model inputs'!E228</f>
        <v>642.3432</v>
      </c>
      <c r="F26" s="8">
        <f>'Model inputs'!F279+'Model inputs'!F228</f>
        <v>890.1702539999999</v>
      </c>
      <c r="G26" s="8">
        <f>'Model inputs'!G279+'Model inputs'!G228</f>
        <v>1169.61459888</v>
      </c>
      <c r="H26" s="8">
        <f>'Model inputs'!H279+'Model inputs'!H228</f>
        <v>1485.5855312886</v>
      </c>
      <c r="I26" s="8">
        <f>'Model inputs'!I279+'Model inputs'!I228</f>
        <v>1843.723741281192</v>
      </c>
      <c r="J26" s="8">
        <f>'Model inputs'!J279+'Model inputs'!J228</f>
        <v>2250.5111713636934</v>
      </c>
      <c r="K26" s="8">
        <f>'Model inputs'!K279+'Model inputs'!K228</f>
        <v>2713.3973498918604</v>
      </c>
      <c r="L26" s="8">
        <f>'Model inputs'!L279+'Model inputs'!L228</f>
        <v>3240.9446701145444</v>
      </c>
      <c r="M26" s="8">
        <f>'Model inputs'!M279+'Model inputs'!M228</f>
        <v>3842.9954568384637</v>
      </c>
      <c r="N26" s="8">
        <f>'Model inputs'!N279+'Model inputs'!N228</f>
        <v>4530.864088984768</v>
      </c>
    </row>
    <row r="27">
      <c r="A27" t="inlineStr" s="26">
        <is>
          <t xml:space="preserve">Cost of revenue · Bootstrap $5,000 — hypothetical</t>
        </is>
      </c>
      <c r="B27" s="8">
        <f>'Model inputs'!B280+'Model inputs'!B229</f>
        <v>1929.8524112800994</v>
      </c>
      <c r="C27" s="8">
        <v>0</v>
      </c>
      <c r="D27" s="8">
        <f>'Model inputs'!D280+'Model inputs'!D229</f>
        <v>323.43</v>
      </c>
      <c r="E27" s="8">
        <f>'Model inputs'!E280+'Model inputs'!E229</f>
        <v>426.78150000000005</v>
      </c>
      <c r="F27" s="8">
        <f>'Model inputs'!F280+'Model inputs'!F229</f>
        <v>535.792725</v>
      </c>
      <c r="G27" s="8">
        <f>'Model inputs'!G280+'Model inputs'!G229</f>
        <v>651.2634187500001</v>
      </c>
      <c r="H27" s="8">
        <f>'Model inputs'!H280+'Model inputs'!H229</f>
        <v>774.0616108125001</v>
      </c>
      <c r="I27" s="8">
        <f>'Model inputs'!I280+'Model inputs'!I229</f>
        <v>905.1310295718752</v>
      </c>
      <c r="J27" s="8">
        <f>'Model inputs'!J280+'Model inputs'!J229</f>
        <v>1045.4992273232815</v>
      </c>
      <c r="K27" s="8">
        <f>'Model inputs'!K280+'Model inputs'!K229</f>
        <v>1196.2864901101175</v>
      </c>
      <c r="L27" s="8">
        <f>'Model inputs'!L280+'Model inputs'!L229</f>
        <v>1358.715612172912</v>
      </c>
      <c r="M27" s="8">
        <f>'Model inputs'!M280+'Model inputs'!M229</f>
        <v>1534.1226227893965</v>
      </c>
      <c r="N27" s="8">
        <f>'Model inputs'!N280+'Model inputs'!N229</f>
        <v>1723.9685619975703</v>
      </c>
    </row>
    <row r="28">
      <c r="A28" t="inlineStr" s="26">
        <is>
          <t xml:space="preserve">Cost of revenue · Conservative</t>
        </is>
      </c>
      <c r="B28" s="8">
        <f>'Model inputs'!B281+'Model inputs'!B230</f>
        <v>519.0781279684174</v>
      </c>
      <c r="D28" s="8">
        <f>'Model inputs'!D281+'Model inputs'!D230</f>
        <v>255.5725</v>
      </c>
      <c r="E28" s="8">
        <f>'Model inputs'!E281+'Model inputs'!E230</f>
        <v>284.616375</v>
      </c>
      <c r="F28" s="8">
        <f>'Model inputs'!F281+'Model inputs'!F230</f>
        <v>312.28143024999997</v>
      </c>
      <c r="G28" s="8">
        <f>'Model inputs'!G281+'Model inputs'!G230</f>
        <v>338.7063120375</v>
      </c>
      <c r="H28" s="8">
        <f>'Model inputs'!H281+'Model inputs'!H230</f>
        <v>364.01942516822504</v>
      </c>
      <c r="I28" s="8">
        <f>'Model inputs'!I281+'Model inputs'!I230</f>
        <v>388.33977779130373</v>
      </c>
      <c r="J28" s="8">
        <f>'Model inputs'!J281+'Model inputs'!J230</f>
        <v>411.77775940363233</v>
      </c>
      <c r="K28" s="8">
        <f>'Model inputs'!K281+'Model inputs'!K230</f>
        <v>434.43585740204355</v>
      </c>
      <c r="L28" s="8">
        <f>'Model inputs'!L281+'Model inputs'!L230</f>
        <v>456.40931712310294</v>
      </c>
      <c r="M28" s="8">
        <f>'Model inputs'!M281+'Model inputs'!M230</f>
        <v>477.78674991587434</v>
      </c>
      <c r="N28" s="8">
        <f>'Model inputs'!N281+'Model inputs'!N230</f>
        <v>498.65069343010254</v>
      </c>
    </row>
    <row r="29">
      <c r="A29" t="inlineStr" s="26">
        <is>
          <t xml:space="preserve">Funding shortfall · Main Scenario</t>
        </is>
      </c>
      <c r="B29" s="8">
        <f>MAX(-'Model inputs'!B11,0)</f>
        <v>0</v>
      </c>
      <c r="D29" s="8">
        <f>MAX(-'Model inputs'!D11,0)</f>
        <v>427.43</v>
      </c>
      <c r="E29" s="8">
        <f>MAX(-'Model inputs'!E11,0)</f>
        <v>421.1615</v>
      </c>
      <c r="F29" s="8">
        <f>MAX(-'Model inputs'!F11,0)</f>
        <v>168.3967249999999</v>
      </c>
      <c r="G29" s="8">
        <f>MAX(-'Model inputs'!G11,0)</f>
        <v>0</v>
      </c>
      <c r="H29" s="8">
        <f>MAX(-'Model inputs'!H11,0)</f>
        <v>0</v>
      </c>
      <c r="I29" s="8">
        <f>MAX(-'Model inputs'!I11,0)</f>
        <v>0</v>
      </c>
      <c r="J29" s="8">
        <f>MAX(-'Model inputs'!J11,0)</f>
        <v>0</v>
      </c>
      <c r="K29" s="8">
        <f>MAX(-'Model inputs'!K11,0)</f>
        <v>0</v>
      </c>
      <c r="L29" s="8">
        <f>MAX(-'Model inputs'!L11,0)</f>
        <v>0</v>
      </c>
      <c r="M29" s="8">
        <f>MAX(-'Model inputs'!M11,0)</f>
        <v>0</v>
      </c>
      <c r="N29" s="8">
        <f>MAX(-'Model inputs'!N11,0)</f>
        <v>0</v>
      </c>
    </row>
    <row r="30">
      <c r="A30" t="inlineStr" s="26">
        <is>
          <t xml:space="preserve">Funding shortfall · Bootstrap no-sales stress — hypothetical</t>
        </is>
      </c>
      <c r="B30" s="8">
        <f>MAX(-'Model inputs'!B12,0)</f>
        <v>600</v>
      </c>
      <c r="D30" s="8">
        <f>MAX(-'Model inputs'!D12,0)</f>
        <v>0</v>
      </c>
      <c r="E30" s="8">
        <f>MAX(-'Model inputs'!E12,0)</f>
        <v>0</v>
      </c>
      <c r="F30" s="8">
        <f>MAX(-'Model inputs'!F12,0)</f>
        <v>0</v>
      </c>
      <c r="G30" s="8">
        <f>MAX(-'Model inputs'!G12,0)</f>
        <v>0</v>
      </c>
      <c r="H30" s="8">
        <f>MAX(-'Model inputs'!H12,0)</f>
        <v>0</v>
      </c>
      <c r="I30" s="8">
        <f>MAX(-'Model inputs'!I12,0)</f>
        <v>0</v>
      </c>
      <c r="J30" s="8">
        <f>MAX(-'Model inputs'!J12,0)</f>
        <v>0</v>
      </c>
      <c r="K30" s="8">
        <f>MAX(-'Model inputs'!K12,0)</f>
        <v>0</v>
      </c>
      <c r="L30" s="8">
        <f>MAX(-'Model inputs'!L12,0)</f>
        <v>0</v>
      </c>
      <c r="M30" s="8">
        <f>MAX(-'Model inputs'!M12,0)</f>
        <v>0</v>
      </c>
      <c r="N30" s="8">
        <f>MAX(-'Model inputs'!N12,0)</f>
        <v>150</v>
      </c>
    </row>
    <row r="31">
      <c r="A31" t="inlineStr" s="26">
        <is>
          <t xml:space="preserve">Funding shortfall · Growth</t>
        </is>
      </c>
      <c r="B31" s="8">
        <f>MAX(-'Model inputs'!B13,0)</f>
        <v>0</v>
      </c>
      <c r="D31" s="8">
        <f>MAX(-'Model inputs'!D13,0)</f>
        <v>354.86</v>
      </c>
      <c r="E31" s="8">
        <f>MAX(-'Model inputs'!E13,0)</f>
        <v>11.163200000000074</v>
      </c>
      <c r="F31" s="8">
        <f>MAX(-'Model inputs'!F13,0)</f>
        <v>0</v>
      </c>
      <c r="G31" s="8">
        <f>MAX(-'Model inputs'!G13,0)</f>
        <v>0</v>
      </c>
      <c r="H31" s="8">
        <f>MAX(-'Model inputs'!H13,0)</f>
        <v>0</v>
      </c>
      <c r="I31" s="8">
        <f>MAX(-'Model inputs'!I13,0)</f>
        <v>0</v>
      </c>
      <c r="J31" s="8">
        <f>MAX(-'Model inputs'!J13,0)</f>
        <v>0</v>
      </c>
      <c r="K31" s="8">
        <f>MAX(-'Model inputs'!K13,0)</f>
        <v>0</v>
      </c>
      <c r="L31" s="8">
        <f>MAX(-'Model inputs'!L13,0)</f>
        <v>0</v>
      </c>
      <c r="M31" s="8">
        <f>MAX(-'Model inputs'!M13,0)</f>
        <v>0</v>
      </c>
      <c r="N31" s="8">
        <f>MAX(-'Model inputs'!N13,0)</f>
        <v>0</v>
      </c>
    </row>
    <row r="32">
      <c r="A32" t="inlineStr" s="26">
        <is>
          <t xml:space="preserve">Funding shortfall · Bootstrap $5,000 — hypothetical</t>
        </is>
      </c>
      <c r="B32" s="8">
        <f>MAX(-'Model inputs'!B14,0)</f>
        <v>0</v>
      </c>
      <c r="D32" s="8">
        <f>MAX(-'Model inputs'!D14,0)</f>
        <v>0</v>
      </c>
      <c r="E32" s="8">
        <f>MAX(-'Model inputs'!E14,0)</f>
        <v>0</v>
      </c>
      <c r="F32" s="8">
        <f>MAX(-'Model inputs'!F14,0)</f>
        <v>0</v>
      </c>
      <c r="G32" s="8">
        <f>MAX(-'Model inputs'!G14,0)</f>
        <v>0</v>
      </c>
      <c r="H32" s="8">
        <f>MAX(-'Model inputs'!H14,0)</f>
        <v>0</v>
      </c>
      <c r="I32" s="8">
        <f>MAX(-'Model inputs'!I14,0)</f>
        <v>0</v>
      </c>
      <c r="J32" s="8">
        <f>MAX(-'Model inputs'!J14,0)</f>
        <v>0</v>
      </c>
      <c r="K32" s="8">
        <f>MAX(-'Model inputs'!K14,0)</f>
        <v>0</v>
      </c>
      <c r="L32" s="8">
        <f>MAX(-'Model inputs'!L14,0)</f>
        <v>0</v>
      </c>
      <c r="M32" s="8">
        <f>MAX(-'Model inputs'!M14,0)</f>
        <v>0</v>
      </c>
      <c r="N32" s="8">
        <f>MAX(-'Model inputs'!N14,0)</f>
        <v>0</v>
      </c>
    </row>
    <row r="33">
      <c r="A33" t="inlineStr" s="26">
        <is>
          <t xml:space="preserve">Funding shortfall · Conservative</t>
        </is>
      </c>
      <c r="B33" s="8">
        <f>MAX(-'Model inputs'!B15,0)</f>
        <v>0</v>
      </c>
      <c r="D33" s="8">
        <f>MAX(-'Model inputs'!D15,0)</f>
        <v>499.8225</v>
      </c>
      <c r="E33" s="8">
        <f>MAX(-'Model inputs'!E15,0)</f>
        <v>728.226375</v>
      </c>
      <c r="F33" s="8">
        <f>MAX(-'Model inputs'!F15,0)</f>
        <v>888.6021302499998</v>
      </c>
      <c r="G33" s="8">
        <f>MAX(-'Model inputs'!G15,0)</f>
        <v>983.9993410374998</v>
      </c>
      <c r="H33" s="8">
        <f>MAX(-'Model inputs'!H15,0)</f>
        <v>1017.1518363982248</v>
      </c>
      <c r="I33" s="8">
        <f>MAX(-'Model inputs'!I15,0)</f>
        <v>990.5008054094035</v>
      </c>
      <c r="J33" s="8">
        <f>MAX(-'Model inputs'!J15,0)</f>
        <v>906.215990377379</v>
      </c>
      <c r="K33" s="8">
        <f>MAX(-'Model inputs'!K15,0)</f>
        <v>766.2151180299384</v>
      </c>
      <c r="L33" s="8">
        <f>MAX(-'Model inputs'!L15,0)</f>
        <v>572.1817076767754</v>
      </c>
      <c r="M33" s="8">
        <f>MAX(-'Model inputs'!M15,0)</f>
        <v>325.5813841245424</v>
      </c>
      <c r="N33" s="8">
        <f>MAX(-'Model inputs'!N15,0)</f>
        <v>27.676812848345378</v>
      </c>
    </row>
    <row r="34">
      <c r="A34" t="inlineStr" s="26">
        <is>
          <t xml:space="preserve">Gross margin · Main Scenario</t>
        </is>
      </c>
      <c r="B34" s="9">
        <f>IFERROR('Model inputs'!B39/'Model inputs'!B58,"")</f>
        <v>0.6528958857683422</v>
      </c>
    </row>
    <row r="35">
      <c r="A35" t="inlineStr" s="26">
        <is>
          <t xml:space="preserve">Gross margin · Bootstrap no-sales stress — hypothetical</t>
        </is>
      </c>
      <c r="B35" t="str" s="9">
        <f>IFERROR('Model inputs'!B235/'Model inputs'!B62,"")</f>
        <v/>
      </c>
    </row>
    <row r="36">
      <c r="A36" t="inlineStr" s="26">
        <is>
          <t xml:space="preserve">Gross margin · Growth</t>
        </is>
      </c>
      <c r="B36" s="9">
        <f>IFERROR('Model inputs'!B40/'Model inputs'!B63,"")</f>
        <v>0.6798166792574792</v>
      </c>
    </row>
    <row r="37">
      <c r="A37" t="inlineStr" s="26">
        <is>
          <t xml:space="preserve">Gross margin · Bootstrap $5,000 — hypothetical</t>
        </is>
      </c>
      <c r="B37" s="9">
        <f>IFERROR('Model inputs'!B237/'Model inputs'!B67,"")</f>
        <v>0.6528958857683422</v>
      </c>
    </row>
    <row r="38">
      <c r="A38" t="inlineStr" s="26">
        <is>
          <t xml:space="preserve">Gross margin · Conservative</t>
        </is>
      </c>
      <c r="B38" s="9">
        <f>IFERROR('Model inputs'!B41/'Model inputs'!B68,"")</f>
        <v>0.48970585868826033</v>
      </c>
    </row>
    <row r="39">
      <c r="A39" t="inlineStr" s="26">
        <is>
          <t xml:space="preserve">Gross profit · NeatRescue — Hackathon submission · Monthly revenue &amp; operating profit — three cases · Main Scenario</t>
        </is>
      </c>
      <c r="B39" s="8">
        <f>'Model inputs'!B58-'Model inputs'!B24</f>
        <v>3630.013727304802</v>
      </c>
      <c r="C39" s="8">
        <v>0</v>
      </c>
      <c r="D39" s="8">
        <f>'Model inputs'!D58-'Model inputs'!D24</f>
        <v>-2.430000000000007</v>
      </c>
      <c r="E39" s="8">
        <f>'Model inputs'!E58-'Model inputs'!E24</f>
        <v>231.26850000000002</v>
      </c>
      <c r="F39" s="8">
        <f>'Model inputs'!F58-'Model inputs'!F24</f>
        <v>477.7647750000001</v>
      </c>
      <c r="G39" s="8">
        <f>'Model inputs'!G58-'Model inputs'!G24</f>
        <v>738.8672062500003</v>
      </c>
      <c r="H39" s="8">
        <f>'Model inputs'!H58-'Model inputs'!H24</f>
        <v>1016.5385829375003</v>
      </c>
      <c r="I39" s="8">
        <f>'Model inputs'!I58-'Model inputs'!I24</f>
        <v>1312.9128644906257</v>
      </c>
      <c r="J39" s="8">
        <f>'Model inputs'!J58-'Model inputs'!J24</f>
        <v>1630.3135530360942</v>
      </c>
      <c r="K39" s="8">
        <f>'Model inputs'!K58-'Model inputs'!K24</f>
        <v>1971.27384033129</v>
      </c>
      <c r="L39" s="8">
        <f>'Model inputs'!L58-'Model inputs'!L24</f>
        <v>2338.5587097564257</v>
      </c>
      <c r="M39" s="8">
        <f>'Model inputs'!M58-'Model inputs'!M24</f>
        <v>2735.189191854475</v>
      </c>
      <c r="N39" s="8">
        <f>'Model inputs'!N58-'Model inputs'!N24</f>
        <v>3164.4689916062093</v>
      </c>
    </row>
    <row r="40">
      <c r="A40" t="inlineStr" s="26">
        <is>
          <t xml:space="preserve">Gross profit · NeatRescue — Hackathon submission · Monthly revenue &amp; operating profit — three cases · Growth</t>
        </is>
      </c>
      <c r="B40" s="8">
        <f>'Model inputs'!B63-'Model inputs'!B26</f>
        <v>11290.296352094763</v>
      </c>
      <c r="D40" s="8">
        <f>'Model inputs'!D63-'Model inputs'!D26</f>
        <v>220.14</v>
      </c>
      <c r="E40" s="8">
        <f>'Model inputs'!E63-'Model inputs'!E26</f>
        <v>718.6967999999999</v>
      </c>
      <c r="F40" s="8">
        <f>'Model inputs'!F63-'Model inputs'!F26</f>
        <v>1279.0835459999996</v>
      </c>
      <c r="G40" s="8">
        <f>'Model inputs'!G63-'Model inputs'!G26</f>
        <v>1910.9633371199998</v>
      </c>
      <c r="H40" s="8">
        <f>'Model inputs'!H63-'Model inputs'!H26</f>
        <v>2625.4370791313995</v>
      </c>
      <c r="I40" s="8">
        <f>'Model inputs'!I63-'Model inputs'!I26</f>
        <v>3435.2595052012075</v>
      </c>
      <c r="J40" s="8">
        <f>'Model inputs'!J63-'Model inputs'!J26</f>
        <v>4355.087589255484</v>
      </c>
      <c r="K40" s="8">
        <f>'Model inputs'!K63-'Model inputs'!K26</f>
        <v>5401.766211169678</v>
      </c>
      <c r="L40" s="8">
        <f>'Model inputs'!L63-'Model inputs'!L26</f>
        <v>6594.656661865225</v>
      </c>
      <c r="M40" s="8">
        <f>'Model inputs'!M63-'Model inputs'!M26</f>
        <v>7956.014414594501</v>
      </c>
      <c r="N40" s="8">
        <f>'Model inputs'!N63-'Model inputs'!N26</f>
        <v>9511.423552629682</v>
      </c>
    </row>
    <row r="41">
      <c r="A41" t="inlineStr" s="26">
        <is>
          <t xml:space="preserve">Gross profit · NeatRescue — Hackathon submission · Monthly revenue &amp; operating profit — three cases · Conservative</t>
        </is>
      </c>
      <c r="B41" s="8">
        <f>'Model inputs'!B68-'Model inputs'!B28</f>
        <v>498.13544739048837</v>
      </c>
      <c r="D41" s="8">
        <f>'Model inputs'!D68-'Model inputs'!D28</f>
        <v>-149.8225</v>
      </c>
      <c r="E41" s="8">
        <f>'Model inputs'!E68-'Model inputs'!E28</f>
        <v>-78.40387499999997</v>
      </c>
      <c r="F41" s="8">
        <f>'Model inputs'!F68-'Model inputs'!F28</f>
        <v>-10.37575524999994</v>
      </c>
      <c r="G41" s="8">
        <f>'Model inputs'!G68-'Model inputs'!G28</f>
        <v>54.6027892125</v>
      </c>
      <c r="H41" s="8">
        <f>'Model inputs'!H68-'Model inputs'!H28</f>
        <v>116.84750463927503</v>
      </c>
      <c r="I41" s="8">
        <f>'Model inputs'!I68-'Model inputs'!I28</f>
        <v>176.65103098882128</v>
      </c>
      <c r="J41" s="8">
        <f>'Model inputs'!J68-'Model inputs'!J28</f>
        <v>234.28481503202454</v>
      </c>
      <c r="K41" s="8">
        <f>'Model inputs'!K68-'Model inputs'!K28</f>
        <v>290.0008723474406</v>
      </c>
      <c r="L41" s="8">
        <f>'Model inputs'!L68-'Model inputs'!L28</f>
        <v>344.03341035316294</v>
      </c>
      <c r="M41" s="8">
        <f>'Model inputs'!M68-'Model inputs'!M28</f>
        <v>396.600323552233</v>
      </c>
      <c r="N41" s="8">
        <f>'Model inputs'!N68-'Model inputs'!N28</f>
        <v>447.90457127619703</v>
      </c>
    </row>
    <row r="42">
      <c r="A42" t="inlineStr" s="26">
        <is>
          <t xml:space="preserve">Net cash flow · NeatRescue — Cash &amp; scenarios · Profit, burn &amp; cash runway · Main Scenario</t>
        </is>
      </c>
      <c r="B42" s="8">
        <f>IF('Model inputs'!B53="","",'Model inputs'!B53)</f>
        <v>3405.013727304802</v>
      </c>
      <c r="C42" s="8">
        <v>0</v>
      </c>
      <c r="D42" s="8">
        <f>IF('Model inputs'!D53="","",'Model inputs'!D53)</f>
        <v>-427.43</v>
      </c>
      <c r="E42" s="8">
        <f>IF('Model inputs'!E53="","",'Model inputs'!E53)</f>
        <v>6.268500000000017</v>
      </c>
      <c r="F42" s="8">
        <f>IF('Model inputs'!F53="","",'Model inputs'!F53)</f>
        <v>252.7647750000001</v>
      </c>
      <c r="G42" s="8">
        <f>IF('Model inputs'!G53="","",'Model inputs'!G53)</f>
        <v>513.8672062500003</v>
      </c>
      <c r="H42" s="8">
        <f>IF('Model inputs'!H53="","",'Model inputs'!H53)</f>
        <v>791.5385829375003</v>
      </c>
      <c r="I42" s="8">
        <f>IF('Model inputs'!I53="","",'Model inputs'!I53)</f>
        <v>1087.9128644906257</v>
      </c>
      <c r="J42" s="8">
        <f>IF('Model inputs'!J53="","",'Model inputs'!J53)</f>
        <v>1405.3135530360942</v>
      </c>
      <c r="K42" s="8">
        <f>IF('Model inputs'!K53="","",'Model inputs'!K53)</f>
        <v>1746.27384033129</v>
      </c>
      <c r="L42" s="8">
        <f>IF('Model inputs'!L53="","",'Model inputs'!L53)</f>
        <v>2113.5587097564257</v>
      </c>
      <c r="M42" s="8">
        <f>IF('Model inputs'!M53="","",'Model inputs'!M53)</f>
        <v>2510.189191854475</v>
      </c>
      <c r="N42" s="8">
        <f>IF('Model inputs'!N53="","",'Model inputs'!N53)</f>
        <v>2939.4689916062093</v>
      </c>
    </row>
    <row r="43">
      <c r="A43" t="inlineStr" s="26">
        <is>
          <t xml:space="preserve">Net cash flow · NeatRescue — Cash &amp; scenarios · Monthly cash — actual-zero and hypothetical bootstrap cases · Bootstrap no-sales stress — hypothetical</t>
        </is>
      </c>
      <c r="B43" s="8">
        <f>IF('Model inputs'!B54="","",'Model inputs'!B54)</f>
        <v>-450</v>
      </c>
      <c r="C43" s="8">
        <v>0</v>
      </c>
      <c r="D43" s="8">
        <f>IF('Model inputs'!D54="","",'Model inputs'!D54)</f>
        <v>-650</v>
      </c>
      <c r="E43" s="8">
        <f>IF('Model inputs'!E54="","",'Model inputs'!E54)</f>
        <v>-450</v>
      </c>
      <c r="F43" s="8">
        <f>IF('Model inputs'!F54="","",'Model inputs'!F54)</f>
        <v>-450</v>
      </c>
      <c r="G43" s="8">
        <f>IF('Model inputs'!G54="","",'Model inputs'!G54)</f>
        <v>-450</v>
      </c>
      <c r="H43" s="8">
        <f>IF('Model inputs'!H54="","",'Model inputs'!H54)</f>
        <v>-450</v>
      </c>
      <c r="I43" s="8">
        <f>IF('Model inputs'!I54="","",'Model inputs'!I54)</f>
        <v>-450</v>
      </c>
      <c r="J43" s="8">
        <f>IF('Model inputs'!J54="","",'Model inputs'!J54)</f>
        <v>-450</v>
      </c>
      <c r="K43" s="8">
        <f>IF('Model inputs'!K54="","",'Model inputs'!K54)</f>
        <v>-450</v>
      </c>
      <c r="L43" s="8">
        <f>IF('Model inputs'!L54="","",'Model inputs'!L54)</f>
        <v>-450</v>
      </c>
      <c r="M43" s="8">
        <f>IF('Model inputs'!M54="","",'Model inputs'!M54)</f>
        <v>-450</v>
      </c>
      <c r="N43" s="8">
        <f>IF('Model inputs'!N54="","",'Model inputs'!N54)</f>
        <v>-450</v>
      </c>
    </row>
    <row r="44">
      <c r="A44" t="inlineStr" s="26">
        <is>
          <t xml:space="preserve">Net cash flow · NeatRescue — Cash &amp; scenarios · Monthly cash — actual-zero and hypothetical bootstrap cases · Bootstrap $5,000 — hypothetical</t>
        </is>
      </c>
      <c r="B44" s="8">
        <f>IF('Model inputs'!B56="","",'Model inputs'!B56)</f>
        <v>3405.013727304802</v>
      </c>
      <c r="C44" s="8">
        <v>0</v>
      </c>
      <c r="D44" s="8">
        <f>IF('Model inputs'!D56="","",'Model inputs'!D56)</f>
        <v>-427.43</v>
      </c>
      <c r="E44" s="8">
        <f>IF('Model inputs'!E56="","",'Model inputs'!E56)</f>
        <v>6.268500000000017</v>
      </c>
      <c r="F44" s="8">
        <f>IF('Model inputs'!F56="","",'Model inputs'!F56)</f>
        <v>252.7647750000001</v>
      </c>
      <c r="G44" s="8">
        <f>IF('Model inputs'!G56="","",'Model inputs'!G56)</f>
        <v>513.8672062500003</v>
      </c>
      <c r="H44" s="8">
        <f>IF('Model inputs'!H56="","",'Model inputs'!H56)</f>
        <v>791.5385829375003</v>
      </c>
      <c r="I44" s="8">
        <f>IF('Model inputs'!I56="","",'Model inputs'!I56)</f>
        <v>1087.9128644906257</v>
      </c>
      <c r="J44" s="8">
        <f>IF('Model inputs'!J56="","",'Model inputs'!J56)</f>
        <v>1405.3135530360942</v>
      </c>
      <c r="K44" s="8">
        <f>IF('Model inputs'!K56="","",'Model inputs'!K56)</f>
        <v>1746.27384033129</v>
      </c>
      <c r="L44" s="8">
        <f>IF('Model inputs'!L56="","",'Model inputs'!L56)</f>
        <v>2113.5587097564257</v>
      </c>
      <c r="M44" s="8">
        <f>IF('Model inputs'!M56="","",'Model inputs'!M56)</f>
        <v>2510.189191854475</v>
      </c>
      <c r="N44" s="8">
        <f>IF('Model inputs'!N56="","",'Model inputs'!N56)</f>
        <v>2939.4689916062093</v>
      </c>
    </row>
    <row r="45">
      <c r="A45" t="inlineStr" s="26">
        <is>
          <t xml:space="preserve">Opening cash · NeatRescue — Cash &amp; scenarios · Profit, burn &amp; cash runway · Main Scenario</t>
        </is>
      </c>
      <c r="O45" s="8">
        <f>'NeatRescue — Assumptions &amp; simu'!B17</f>
        <v>0</v>
      </c>
    </row>
    <row r="46">
      <c r="A46" t="inlineStr" s="26">
        <is>
          <t xml:space="preserve">Opening cash · NeatRescue — Cash &amp; scenarios · Monthly cash — actual-zero and hypothetical bootstrap cases · Bootstrap no-sales stress — hypothetical</t>
        </is>
      </c>
      <c r="O46" s="8">
        <f>5000</f>
        <v>5000</v>
      </c>
    </row>
    <row r="47">
      <c r="A47" t="inlineStr" s="26">
        <is>
          <t xml:space="preserve">Opening cash · NeatRescue — Cash &amp; scenarios · Monthly cash — actual-zero and hypothetical bootstrap cases · Bootstrap $5,000 — hypothetical</t>
        </is>
      </c>
      <c r="O47" s="8">
        <f>5000</f>
        <v>5000</v>
      </c>
    </row>
    <row r="48">
      <c r="A48" t="inlineStr" s="26">
        <is>
          <t xml:space="preserve">Operating expenses · NeatRescue — Hackathon submission · 12-month scenario comparison — hypothetical · Main Scenario</t>
        </is>
      </c>
      <c r="B48" s="8">
        <f>'Model inputs'!B112+'Model inputs'!B98+'Model inputs'!B104+'Model inputs'!B108</f>
        <v>225</v>
      </c>
      <c r="C48" s="8">
        <v>0</v>
      </c>
      <c r="D48" s="8">
        <f>'Model inputs'!D112+'Model inputs'!D98+'Model inputs'!D104+'Model inputs'!D108</f>
        <v>425</v>
      </c>
      <c r="E48" s="8">
        <f>'Model inputs'!E112+'Model inputs'!E98+'Model inputs'!E104+'Model inputs'!E108</f>
        <v>225</v>
      </c>
      <c r="F48" s="8">
        <f>'Model inputs'!F112+'Model inputs'!F98+'Model inputs'!F104+'Model inputs'!F108</f>
        <v>225</v>
      </c>
      <c r="G48" s="8">
        <f>'Model inputs'!G112+'Model inputs'!G98+'Model inputs'!G104+'Model inputs'!G108</f>
        <v>225</v>
      </c>
      <c r="H48" s="8">
        <f>'Model inputs'!H112+'Model inputs'!H98+'Model inputs'!H104+'Model inputs'!H108</f>
        <v>225</v>
      </c>
      <c r="I48" s="8">
        <f>'Model inputs'!I112+'Model inputs'!I98+'Model inputs'!I104+'Model inputs'!I108</f>
        <v>225</v>
      </c>
      <c r="J48" s="8">
        <f>'Model inputs'!J112+'Model inputs'!J98+'Model inputs'!J104+'Model inputs'!J108</f>
        <v>225</v>
      </c>
      <c r="K48" s="8">
        <f>'Model inputs'!K112+'Model inputs'!K98+'Model inputs'!K104+'Model inputs'!K108</f>
        <v>225</v>
      </c>
      <c r="L48" s="8">
        <f>'Model inputs'!L112+'Model inputs'!L98+'Model inputs'!L104+'Model inputs'!L108</f>
        <v>225</v>
      </c>
      <c r="M48" s="8">
        <f>'Model inputs'!M112+'Model inputs'!M98+'Model inputs'!M104+'Model inputs'!M108</f>
        <v>225</v>
      </c>
      <c r="N48" s="8">
        <f>'Model inputs'!N112+'Model inputs'!N98+'Model inputs'!N104+'Model inputs'!N108</f>
        <v>225</v>
      </c>
    </row>
    <row r="49">
      <c r="A49" t="inlineStr" s="26">
        <is>
          <t xml:space="preserve">Operating expenses · Bootstrap no-sales stress — hypothetical</t>
        </is>
      </c>
      <c r="B49" s="8">
        <f>'Model inputs'!B255+'Model inputs'!B205+'Model inputs'!B231+'Model inputs'!B241</f>
        <v>225</v>
      </c>
      <c r="C49" s="8">
        <v>0</v>
      </c>
      <c r="D49" s="8">
        <f>'Model inputs'!D255+'Model inputs'!D205+'Model inputs'!D231+'Model inputs'!D241</f>
        <v>425</v>
      </c>
      <c r="E49" s="8">
        <f>'Model inputs'!E255+'Model inputs'!E205+'Model inputs'!E231+'Model inputs'!E241</f>
        <v>225</v>
      </c>
      <c r="F49" s="8">
        <f>'Model inputs'!F255+'Model inputs'!F205+'Model inputs'!F231+'Model inputs'!F241</f>
        <v>225</v>
      </c>
      <c r="G49" s="8">
        <f>'Model inputs'!G255+'Model inputs'!G205+'Model inputs'!G231+'Model inputs'!G241</f>
        <v>225</v>
      </c>
      <c r="H49" s="8">
        <f>'Model inputs'!H255+'Model inputs'!H205+'Model inputs'!H231+'Model inputs'!H241</f>
        <v>225</v>
      </c>
      <c r="I49" s="8">
        <f>'Model inputs'!I255+'Model inputs'!I205+'Model inputs'!I231+'Model inputs'!I241</f>
        <v>225</v>
      </c>
      <c r="J49" s="8">
        <f>'Model inputs'!J255+'Model inputs'!J205+'Model inputs'!J231+'Model inputs'!J241</f>
        <v>225</v>
      </c>
      <c r="K49" s="8">
        <f>'Model inputs'!K255+'Model inputs'!K205+'Model inputs'!K231+'Model inputs'!K241</f>
        <v>225</v>
      </c>
      <c r="L49" s="8">
        <f>'Model inputs'!L255+'Model inputs'!L205+'Model inputs'!L231+'Model inputs'!L241</f>
        <v>225</v>
      </c>
      <c r="M49" s="8">
        <f>'Model inputs'!M255+'Model inputs'!M205+'Model inputs'!M231+'Model inputs'!M241</f>
        <v>225</v>
      </c>
      <c r="N49" s="8">
        <f>'Model inputs'!N255+'Model inputs'!N205+'Model inputs'!N231+'Model inputs'!N241</f>
        <v>225</v>
      </c>
    </row>
    <row r="50">
      <c r="A50" t="inlineStr" s="26">
        <is>
          <t xml:space="preserve">Operating expenses · NeatRescue — Hackathon submission · 12-month scenario comparison — hypothetical · Growth</t>
        </is>
      </c>
      <c r="B50" s="8">
        <f>'Model inputs'!B256+'Model inputs'!B206+'Model inputs'!B232+'Model inputs'!B242</f>
        <v>375</v>
      </c>
      <c r="D50" s="8">
        <f>'Model inputs'!D256+'Model inputs'!D206+'Model inputs'!D232+'Model inputs'!D242</f>
        <v>575</v>
      </c>
      <c r="E50" s="8">
        <f>'Model inputs'!E256+'Model inputs'!E206+'Model inputs'!E232+'Model inputs'!E242</f>
        <v>375</v>
      </c>
      <c r="F50" s="8">
        <f>'Model inputs'!F256+'Model inputs'!F206+'Model inputs'!F232+'Model inputs'!F242</f>
        <v>375</v>
      </c>
      <c r="G50" s="8">
        <f>'Model inputs'!G256+'Model inputs'!G206+'Model inputs'!G232+'Model inputs'!G242</f>
        <v>375</v>
      </c>
      <c r="H50" s="8">
        <f>'Model inputs'!H256+'Model inputs'!H206+'Model inputs'!H232+'Model inputs'!H242</f>
        <v>375</v>
      </c>
      <c r="I50" s="8">
        <f>'Model inputs'!I256+'Model inputs'!I206+'Model inputs'!I232+'Model inputs'!I242</f>
        <v>375</v>
      </c>
      <c r="J50" s="8">
        <f>'Model inputs'!J256+'Model inputs'!J206+'Model inputs'!J232+'Model inputs'!J242</f>
        <v>375</v>
      </c>
      <c r="K50" s="8">
        <f>'Model inputs'!K256+'Model inputs'!K206+'Model inputs'!K232+'Model inputs'!K242</f>
        <v>375</v>
      </c>
      <c r="L50" s="8">
        <f>'Model inputs'!L256+'Model inputs'!L206+'Model inputs'!L232+'Model inputs'!L242</f>
        <v>375</v>
      </c>
      <c r="M50" s="8">
        <f>'Model inputs'!M256+'Model inputs'!M206+'Model inputs'!M232+'Model inputs'!M242</f>
        <v>375</v>
      </c>
      <c r="N50" s="8">
        <f>'Model inputs'!N256+'Model inputs'!N206+'Model inputs'!N232+'Model inputs'!N242</f>
        <v>375</v>
      </c>
    </row>
    <row r="51">
      <c r="A51" t="inlineStr" s="26">
        <is>
          <t xml:space="preserve">Operating expenses · Bootstrap $5,000 — hypothetical</t>
        </is>
      </c>
      <c r="B51" s="8">
        <f>'Model inputs'!B257+'Model inputs'!B207+'Model inputs'!B233+'Model inputs'!B243</f>
        <v>225</v>
      </c>
      <c r="C51" s="8">
        <v>0</v>
      </c>
      <c r="D51" s="8">
        <f>'Model inputs'!D257+'Model inputs'!D207+'Model inputs'!D233+'Model inputs'!D243</f>
        <v>425</v>
      </c>
      <c r="E51" s="8">
        <f>'Model inputs'!E257+'Model inputs'!E207+'Model inputs'!E233+'Model inputs'!E243</f>
        <v>225</v>
      </c>
      <c r="F51" s="8">
        <f>'Model inputs'!F257+'Model inputs'!F207+'Model inputs'!F233+'Model inputs'!F243</f>
        <v>225</v>
      </c>
      <c r="G51" s="8">
        <f>'Model inputs'!G257+'Model inputs'!G207+'Model inputs'!G233+'Model inputs'!G243</f>
        <v>225</v>
      </c>
      <c r="H51" s="8">
        <f>'Model inputs'!H257+'Model inputs'!H207+'Model inputs'!H233+'Model inputs'!H243</f>
        <v>225</v>
      </c>
      <c r="I51" s="8">
        <f>'Model inputs'!I257+'Model inputs'!I207+'Model inputs'!I233+'Model inputs'!I243</f>
        <v>225</v>
      </c>
      <c r="J51" s="8">
        <f>'Model inputs'!J257+'Model inputs'!J207+'Model inputs'!J233+'Model inputs'!J243</f>
        <v>225</v>
      </c>
      <c r="K51" s="8">
        <f>'Model inputs'!K257+'Model inputs'!K207+'Model inputs'!K233+'Model inputs'!K243</f>
        <v>225</v>
      </c>
      <c r="L51" s="8">
        <f>'Model inputs'!L257+'Model inputs'!L207+'Model inputs'!L233+'Model inputs'!L243</f>
        <v>225</v>
      </c>
      <c r="M51" s="8">
        <f>'Model inputs'!M257+'Model inputs'!M207+'Model inputs'!M233+'Model inputs'!M243</f>
        <v>225</v>
      </c>
      <c r="N51" s="8">
        <f>'Model inputs'!N257+'Model inputs'!N207+'Model inputs'!N233+'Model inputs'!N243</f>
        <v>225</v>
      </c>
    </row>
    <row r="52">
      <c r="A52" t="inlineStr" s="26">
        <is>
          <t xml:space="preserve">Operating expenses · NeatRescue — Hackathon submission · 12-month scenario comparison — hypothetical · Conservative</t>
        </is>
      </c>
      <c r="B52" s="8">
        <f>'Model inputs'!B258+'Model inputs'!B208+'Model inputs'!B234+'Model inputs'!B244</f>
        <v>150</v>
      </c>
      <c r="D52" s="8">
        <f>'Model inputs'!D258+'Model inputs'!D208+'Model inputs'!D234+'Model inputs'!D244</f>
        <v>350</v>
      </c>
      <c r="E52" s="8">
        <f>'Model inputs'!E258+'Model inputs'!E208+'Model inputs'!E234+'Model inputs'!E244</f>
        <v>150</v>
      </c>
      <c r="F52" s="8">
        <f>'Model inputs'!F258+'Model inputs'!F208+'Model inputs'!F234+'Model inputs'!F244</f>
        <v>150</v>
      </c>
      <c r="G52" s="8">
        <f>'Model inputs'!G258+'Model inputs'!G208+'Model inputs'!G234+'Model inputs'!G244</f>
        <v>150</v>
      </c>
      <c r="H52" s="8">
        <f>'Model inputs'!H258+'Model inputs'!H208+'Model inputs'!H234+'Model inputs'!H244</f>
        <v>150</v>
      </c>
      <c r="I52" s="8">
        <f>'Model inputs'!I258+'Model inputs'!I208+'Model inputs'!I234+'Model inputs'!I244</f>
        <v>150</v>
      </c>
      <c r="J52" s="8">
        <f>'Model inputs'!J258+'Model inputs'!J208+'Model inputs'!J234+'Model inputs'!J244</f>
        <v>150</v>
      </c>
      <c r="K52" s="8">
        <f>'Model inputs'!K258+'Model inputs'!K208+'Model inputs'!K234+'Model inputs'!K244</f>
        <v>150</v>
      </c>
      <c r="L52" s="8">
        <f>'Model inputs'!L258+'Model inputs'!L208+'Model inputs'!L234+'Model inputs'!L244</f>
        <v>150</v>
      </c>
      <c r="M52" s="8">
        <f>'Model inputs'!M258+'Model inputs'!M208+'Model inputs'!M234+'Model inputs'!M244</f>
        <v>150</v>
      </c>
      <c r="N52" s="8">
        <f>'Model inputs'!N258+'Model inputs'!N208+'Model inputs'!N234+'Model inputs'!N244</f>
        <v>150</v>
      </c>
    </row>
    <row r="53">
      <c r="A53" t="inlineStr" s="26">
        <is>
          <t xml:space="preserve">Operating profit · NeatRescue — Hackathon submission · 12-month scenario comparison — hypothetical · Main Scenario</t>
        </is>
      </c>
      <c r="B53" s="8">
        <f>'Model inputs'!B39-'Model inputs'!B48</f>
        <v>3405.013727304802</v>
      </c>
      <c r="C53" s="8">
        <v>0</v>
      </c>
      <c r="D53" s="8">
        <f>'Model inputs'!D39-'Model inputs'!D48</f>
        <v>-427.43</v>
      </c>
      <c r="E53" s="8">
        <f>'Model inputs'!E39-'Model inputs'!E48</f>
        <v>6.268500000000017</v>
      </c>
      <c r="F53" s="8">
        <f>'Model inputs'!F39-'Model inputs'!F48</f>
        <v>252.7647750000001</v>
      </c>
      <c r="G53" s="8">
        <f>'Model inputs'!G39-'Model inputs'!G48</f>
        <v>513.8672062500003</v>
      </c>
      <c r="H53" s="8">
        <f>'Model inputs'!H39-'Model inputs'!H48</f>
        <v>791.5385829375003</v>
      </c>
      <c r="I53" s="8">
        <f>'Model inputs'!I39-'Model inputs'!I48</f>
        <v>1087.9128644906257</v>
      </c>
      <c r="J53" s="8">
        <f>'Model inputs'!J39-'Model inputs'!J48</f>
        <v>1405.3135530360942</v>
      </c>
      <c r="K53" s="8">
        <f>'Model inputs'!K39-'Model inputs'!K48</f>
        <v>1746.27384033129</v>
      </c>
      <c r="L53" s="8">
        <f>'Model inputs'!L39-'Model inputs'!L48</f>
        <v>2113.5587097564257</v>
      </c>
      <c r="M53" s="8">
        <f>'Model inputs'!M39-'Model inputs'!M48</f>
        <v>2510.189191854475</v>
      </c>
      <c r="N53" s="8">
        <f>'Model inputs'!N39-'Model inputs'!N48</f>
        <v>2939.4689916062093</v>
      </c>
    </row>
    <row r="54">
      <c r="A54" t="inlineStr" s="26">
        <is>
          <t xml:space="preserve">Operating profit · Bootstrap no-sales stress — hypothetical</t>
        </is>
      </c>
      <c r="B54" s="8">
        <f>'Model inputs'!B235-'Model inputs'!B49</f>
        <v>-450</v>
      </c>
      <c r="D54" s="8">
        <f>'Model inputs'!D235-'Model inputs'!D49</f>
        <v>-650</v>
      </c>
      <c r="E54" s="8">
        <f>'Model inputs'!E235-'Model inputs'!E49</f>
        <v>-450</v>
      </c>
      <c r="F54" s="8">
        <f>'Model inputs'!F235-'Model inputs'!F49</f>
        <v>-450</v>
      </c>
      <c r="G54" s="8">
        <f>'Model inputs'!G235-'Model inputs'!G49</f>
        <v>-450</v>
      </c>
      <c r="H54" s="8">
        <f>'Model inputs'!H235-'Model inputs'!H49</f>
        <v>-450</v>
      </c>
      <c r="I54" s="8">
        <f>'Model inputs'!I235-'Model inputs'!I49</f>
        <v>-450</v>
      </c>
      <c r="J54" s="8">
        <f>'Model inputs'!J235-'Model inputs'!J49</f>
        <v>-450</v>
      </c>
      <c r="K54" s="8">
        <f>'Model inputs'!K235-'Model inputs'!K49</f>
        <v>-450</v>
      </c>
      <c r="L54" s="8">
        <f>'Model inputs'!L235-'Model inputs'!L49</f>
        <v>-450</v>
      </c>
      <c r="M54" s="8">
        <f>'Model inputs'!M235-'Model inputs'!M49</f>
        <v>-450</v>
      </c>
      <c r="N54" s="8">
        <f>'Model inputs'!N235-'Model inputs'!N49</f>
        <v>-450</v>
      </c>
    </row>
    <row r="55">
      <c r="A55" t="inlineStr" s="26">
        <is>
          <t xml:space="preserve">Operating profit · Growth</t>
        </is>
      </c>
      <c r="B55" s="8">
        <f>'Model inputs'!B40-'Model inputs'!B50</f>
        <v>10915.296352094763</v>
      </c>
      <c r="D55" s="8">
        <f>'Model inputs'!D40-'Model inputs'!D50</f>
        <v>-354.86</v>
      </c>
      <c r="E55" s="8">
        <f>'Model inputs'!E40-'Model inputs'!E50</f>
        <v>343.69679999999994</v>
      </c>
      <c r="F55" s="8">
        <f>'Model inputs'!F40-'Model inputs'!F50</f>
        <v>904.0835459999996</v>
      </c>
      <c r="G55" s="8">
        <f>'Model inputs'!G40-'Model inputs'!G50</f>
        <v>1535.9633371199998</v>
      </c>
      <c r="H55" s="8">
        <f>'Model inputs'!H40-'Model inputs'!H50</f>
        <v>2250.4370791313995</v>
      </c>
      <c r="I55" s="8">
        <f>'Model inputs'!I40-'Model inputs'!I50</f>
        <v>3060.2595052012075</v>
      </c>
      <c r="J55" s="8">
        <f>'Model inputs'!J40-'Model inputs'!J50</f>
        <v>3980.087589255484</v>
      </c>
      <c r="K55" s="8">
        <f>'Model inputs'!K40-'Model inputs'!K50</f>
        <v>5026.766211169678</v>
      </c>
      <c r="L55" s="8">
        <f>'Model inputs'!L40-'Model inputs'!L50</f>
        <v>6219.656661865225</v>
      </c>
      <c r="M55" s="8">
        <f>'Model inputs'!M40-'Model inputs'!M50</f>
        <v>7581.014414594501</v>
      </c>
      <c r="N55" s="8">
        <f>'Model inputs'!N40-'Model inputs'!N50</f>
        <v>9136.423552629682</v>
      </c>
    </row>
    <row r="56">
      <c r="A56" t="inlineStr" s="26">
        <is>
          <t xml:space="preserve">Operating profit · Bootstrap $5,000 — hypothetical</t>
        </is>
      </c>
      <c r="B56" s="8">
        <f>'Model inputs'!B237-'Model inputs'!B51</f>
        <v>3405.013727304802</v>
      </c>
      <c r="D56" s="8">
        <f>'Model inputs'!D237-'Model inputs'!D51</f>
        <v>-427.43</v>
      </c>
      <c r="E56" s="8">
        <f>'Model inputs'!E237-'Model inputs'!E51</f>
        <v>6.268500000000017</v>
      </c>
      <c r="F56" s="8">
        <f>'Model inputs'!F237-'Model inputs'!F51</f>
        <v>252.7647750000001</v>
      </c>
      <c r="G56" s="8">
        <f>'Model inputs'!G237-'Model inputs'!G51</f>
        <v>513.8672062500003</v>
      </c>
      <c r="H56" s="8">
        <f>'Model inputs'!H237-'Model inputs'!H51</f>
        <v>791.5385829375003</v>
      </c>
      <c r="I56" s="8">
        <f>'Model inputs'!I237-'Model inputs'!I51</f>
        <v>1087.9128644906257</v>
      </c>
      <c r="J56" s="8">
        <f>'Model inputs'!J237-'Model inputs'!J51</f>
        <v>1405.3135530360942</v>
      </c>
      <c r="K56" s="8">
        <f>'Model inputs'!K237-'Model inputs'!K51</f>
        <v>1746.27384033129</v>
      </c>
      <c r="L56" s="8">
        <f>'Model inputs'!L237-'Model inputs'!L51</f>
        <v>2113.5587097564257</v>
      </c>
      <c r="M56" s="8">
        <f>'Model inputs'!M237-'Model inputs'!M51</f>
        <v>2510.189191854475</v>
      </c>
      <c r="N56" s="8">
        <f>'Model inputs'!N237-'Model inputs'!N51</f>
        <v>2939.4689916062093</v>
      </c>
    </row>
    <row r="57">
      <c r="A57" t="inlineStr" s="26">
        <is>
          <t xml:space="preserve">Operating profit · Conservative</t>
        </is>
      </c>
      <c r="B57" s="8">
        <f>'Model inputs'!B41-'Model inputs'!B52</f>
        <v>348.13544739048837</v>
      </c>
      <c r="D57" s="8">
        <f>'Model inputs'!D41-'Model inputs'!D52</f>
        <v>-499.8225</v>
      </c>
      <c r="E57" s="8">
        <f>'Model inputs'!E41-'Model inputs'!E52</f>
        <v>-228.40387499999997</v>
      </c>
      <c r="F57" s="8">
        <f>'Model inputs'!F41-'Model inputs'!F52</f>
        <v>-160.37575524999994</v>
      </c>
      <c r="G57" s="8">
        <f>'Model inputs'!G41-'Model inputs'!G52</f>
        <v>-95.3972107875</v>
      </c>
      <c r="H57" s="8">
        <f>'Model inputs'!H41-'Model inputs'!H52</f>
        <v>-33.15249536072497</v>
      </c>
      <c r="I57" s="8">
        <f>'Model inputs'!I41-'Model inputs'!I52</f>
        <v>26.651030988821276</v>
      </c>
      <c r="J57" s="8">
        <f>'Model inputs'!J41-'Model inputs'!J52</f>
        <v>84.28481503202454</v>
      </c>
      <c r="K57" s="8">
        <f>'Model inputs'!K41-'Model inputs'!K52</f>
        <v>140.00087234744058</v>
      </c>
      <c r="L57" s="8">
        <f>'Model inputs'!L41-'Model inputs'!L52</f>
        <v>194.03341035316294</v>
      </c>
      <c r="M57" s="8">
        <f>'Model inputs'!M41-'Model inputs'!M52</f>
        <v>246.60032355223302</v>
      </c>
      <c r="N57" s="8">
        <f>'Model inputs'!N41-'Model inputs'!N52</f>
        <v>297.90457127619703</v>
      </c>
    </row>
    <row r="58">
      <c r="A58" t="inlineStr" s="26">
        <is>
          <t xml:space="preserve">Revenue · by  · NeatRescue — Hackathon submission · 12-month scenario comparison — hypothetical · Main Scenario</t>
        </is>
      </c>
      <c r="B58" s="8">
        <f>SUM('Model inputs'!B60,'Model inputs'!B61)</f>
        <v>5559.866138584902</v>
      </c>
      <c r="C58" s="8">
        <f>SUM('Model inputs'!C60,'Model inputs'!C61)</f>
        <v>0</v>
      </c>
      <c r="D58" s="8">
        <f>SUM('Model inputs'!D60,'Model inputs'!D61)</f>
        <v>321</v>
      </c>
      <c r="E58" s="8">
        <f>SUM('Model inputs'!E60,'Model inputs'!E61)</f>
        <v>658.0500000000001</v>
      </c>
      <c r="F58" s="8">
        <f>SUM('Model inputs'!F60,'Model inputs'!F61)</f>
        <v>1013.5575000000001</v>
      </c>
      <c r="G58" s="8">
        <f>SUM('Model inputs'!G60,'Model inputs'!G61)</f>
        <v>1390.1306250000005</v>
      </c>
      <c r="H58" s="8">
        <f>SUM('Model inputs'!H60,'Model inputs'!H61)</f>
        <v>1790.6001937500005</v>
      </c>
      <c r="I58" s="8">
        <f>SUM('Model inputs'!I60,'Model inputs'!I61)</f>
        <v>2218.043894062501</v>
      </c>
      <c r="J58" s="8">
        <f>SUM('Model inputs'!J60,'Model inputs'!J61)</f>
        <v>2675.8127803593757</v>
      </c>
      <c r="K58" s="8">
        <f>SUM('Model inputs'!K60,'Model inputs'!K61)</f>
        <v>3167.5603304414076</v>
      </c>
      <c r="L58" s="8">
        <f>SUM('Model inputs'!L60,'Model inputs'!L61)</f>
        <v>3697.274321929338</v>
      </c>
      <c r="M58" s="8">
        <f>SUM('Model inputs'!M60,'Model inputs'!M61)</f>
        <v>4269.311814643872</v>
      </c>
      <c r="N58" s="8">
        <f>SUM('Model inputs'!N60,'Model inputs'!N61)</f>
        <v>4888.43755360378</v>
      </c>
    </row>
    <row r="59">
      <c r="A59" t="inlineStr" s="26">
        <is>
          <t xml:space="preserve">Revenue</t>
        </is>
      </c>
      <c r="B59" s="16">
        <f>IF('Model inputs'!B58="","",'Model inputs'!B58)</f>
        <v>5559.866138584902</v>
      </c>
      <c r="C59" s="16">
        <f>IF('Model inputs'!C58="","",'Model inputs'!C58)</f>
        <v>0</v>
      </c>
      <c r="D59" s="16">
        <f>IF('Model inputs'!D58="","",'Model inputs'!D58)</f>
        <v>321</v>
      </c>
      <c r="E59" s="16">
        <f>IF('Model inputs'!E58="","",'Model inputs'!E58)</f>
        <v>658.0500000000001</v>
      </c>
      <c r="F59" s="16">
        <f>IF('Model inputs'!F58="","",'Model inputs'!F58)</f>
        <v>1013.5575000000001</v>
      </c>
      <c r="G59" s="16">
        <f>IF('Model inputs'!G58="","",'Model inputs'!G58)</f>
        <v>1390.1306250000005</v>
      </c>
      <c r="H59" s="16">
        <f>IF('Model inputs'!H58="","",'Model inputs'!H58)</f>
        <v>1790.6001937500005</v>
      </c>
      <c r="I59" s="16">
        <f>IF('Model inputs'!I58="","",'Model inputs'!I58)</f>
        <v>2218.043894062501</v>
      </c>
      <c r="J59" s="16">
        <f>IF('Model inputs'!J58="","",'Model inputs'!J58)</f>
        <v>2675.8127803593757</v>
      </c>
      <c r="K59" s="16">
        <f>IF('Model inputs'!K58="","",'Model inputs'!K58)</f>
        <v>3167.5603304414076</v>
      </c>
      <c r="L59" s="16">
        <f>IF('Model inputs'!L58="","",'Model inputs'!L58)</f>
        <v>3697.274321929338</v>
      </c>
      <c r="M59" s="16">
        <f>IF('Model inputs'!M58="","",'Model inputs'!M58)</f>
        <v>4269.311814643872</v>
      </c>
      <c r="N59" s="16">
        <f>IF('Model inputs'!N58="","",'Model inputs'!N58)</f>
        <v>4888.43755360378</v>
      </c>
    </row>
    <row r="60" outlineLevel="1">
      <c r="A60" t="inlineStr" s="27">
        <is>
          <t xml:space="preserve">Revenue &gt; Starter</t>
        </is>
      </c>
      <c r="B60" s="8">
        <f>'Model inputs'!B114+'Model inputs'!B120</f>
        <v>1766.6864365596884</v>
      </c>
      <c r="C60" s="8">
        <f>0</f>
        <v>0</v>
      </c>
      <c r="D60" s="8">
        <f>'Model inputs'!D114+'Model inputs'!D120</f>
        <v>102</v>
      </c>
      <c r="E60" s="8">
        <f>'Model inputs'!E114+'Model inputs'!E120</f>
        <v>209.10000000000002</v>
      </c>
      <c r="F60" s="8">
        <f>'Model inputs'!F114+'Model inputs'!F120</f>
        <v>322.06500000000005</v>
      </c>
      <c r="G60" s="8">
        <f>'Model inputs'!G114+'Model inputs'!G120</f>
        <v>441.7237500000001</v>
      </c>
      <c r="H60" s="8">
        <f>'Model inputs'!H114+'Model inputs'!H120</f>
        <v>568.9757625000001</v>
      </c>
      <c r="I60" s="8">
        <f>'Model inputs'!I114+'Model inputs'!I120</f>
        <v>704.7989943750002</v>
      </c>
      <c r="J60" s="8">
        <f>'Model inputs'!J114+'Model inputs'!J120</f>
        <v>850.2582666562503</v>
      </c>
      <c r="K60" s="8">
        <f>'Model inputs'!K114+'Model inputs'!K120</f>
        <v>1006.514497523438</v>
      </c>
      <c r="L60" s="8">
        <f>'Model inputs'!L114+'Model inputs'!L120</f>
        <v>1174.8348312672663</v>
      </c>
      <c r="M60" s="8">
        <f>'Model inputs'!M114+'Model inputs'!M120</f>
        <v>1356.6037541859032</v>
      </c>
      <c r="N60" s="8">
        <f>'Model inputs'!N114+'Model inputs'!N120</f>
        <v>1553.3352974068084</v>
      </c>
    </row>
    <row r="61" outlineLevel="1">
      <c r="A61" t="inlineStr" s="27">
        <is>
          <t xml:space="preserve">Revenue &gt; Team</t>
        </is>
      </c>
      <c r="B61" s="8">
        <f>'Model inputs'!B115+'Model inputs'!B121</f>
        <v>3793.1797020252134</v>
      </c>
      <c r="C61" s="8">
        <f>0</f>
        <v>0</v>
      </c>
      <c r="D61" s="8">
        <f>'Model inputs'!D115+'Model inputs'!D121</f>
        <v>219</v>
      </c>
      <c r="E61" s="8">
        <f>'Model inputs'!E115+'Model inputs'!E121</f>
        <v>448.95000000000005</v>
      </c>
      <c r="F61" s="8">
        <f>'Model inputs'!F115+'Model inputs'!F121</f>
        <v>691.4925000000001</v>
      </c>
      <c r="G61" s="8">
        <f>'Model inputs'!G115+'Model inputs'!G121</f>
        <v>948.4068750000004</v>
      </c>
      <c r="H61" s="8">
        <f>'Model inputs'!H115+'Model inputs'!H121</f>
        <v>1221.6244312500003</v>
      </c>
      <c r="I61" s="8">
        <f>'Model inputs'!I115+'Model inputs'!I121</f>
        <v>1513.2448996875005</v>
      </c>
      <c r="J61" s="8">
        <f>'Model inputs'!J115+'Model inputs'!J121</f>
        <v>1825.5545137031254</v>
      </c>
      <c r="K61" s="8">
        <f>'Model inputs'!K115+'Model inputs'!K121</f>
        <v>2161.0458329179696</v>
      </c>
      <c r="L61" s="8">
        <f>'Model inputs'!L115+'Model inputs'!L121</f>
        <v>2522.4394906620714</v>
      </c>
      <c r="M61" s="8">
        <f>'Model inputs'!M115+'Model inputs'!M121</f>
        <v>2912.7080604579683</v>
      </c>
      <c r="N61" s="8">
        <f>'Model inputs'!N115+'Model inputs'!N121</f>
        <v>3335.102256196971</v>
      </c>
    </row>
    <row r="62">
      <c r="A62" t="inlineStr" s="26">
        <is>
          <t xml:space="preserve">Revenue · Bootstrap no-sales stress — hypothetical</t>
        </is>
      </c>
      <c r="B62" s="8">
        <f>SUM('Model inputs'!B250,'Model inputs'!B251)</f>
        <v>0</v>
      </c>
      <c r="D62" s="8">
        <f>SUM('Model inputs'!D250,'Model inputs'!D251)</f>
        <v>0</v>
      </c>
      <c r="E62" s="8">
        <f>SUM('Model inputs'!E250,'Model inputs'!E251)</f>
        <v>0</v>
      </c>
      <c r="F62" s="8">
        <f>SUM('Model inputs'!F250,'Model inputs'!F251)</f>
        <v>0</v>
      </c>
      <c r="G62" s="8">
        <f>SUM('Model inputs'!G250,'Model inputs'!G251)</f>
        <v>0</v>
      </c>
      <c r="H62" s="8">
        <f>SUM('Model inputs'!H250,'Model inputs'!H251)</f>
        <v>0</v>
      </c>
      <c r="I62" s="8">
        <f>SUM('Model inputs'!I250,'Model inputs'!I251)</f>
        <v>0</v>
      </c>
      <c r="J62" s="8">
        <f>SUM('Model inputs'!J250,'Model inputs'!J251)</f>
        <v>0</v>
      </c>
      <c r="K62" s="8">
        <f>SUM('Model inputs'!K250,'Model inputs'!K251)</f>
        <v>0</v>
      </c>
      <c r="L62" s="8">
        <f>SUM('Model inputs'!L250,'Model inputs'!L251)</f>
        <v>0</v>
      </c>
      <c r="M62" s="8">
        <f>SUM('Model inputs'!M250,'Model inputs'!M251)</f>
        <v>0</v>
      </c>
      <c r="N62" s="8">
        <f>SUM('Model inputs'!N250,'Model inputs'!N251)</f>
        <v>0</v>
      </c>
    </row>
    <row r="63">
      <c r="A63" t="inlineStr" s="26">
        <is>
          <t xml:space="preserve">Revenue · by  · NeatRescue — Hackathon submission · 12-month scenario comparison — hypothetical · Growth</t>
        </is>
      </c>
      <c r="B63" s="8">
        <f>SUM('Model inputs'!B65,'Model inputs'!B66)</f>
        <v>16607.854288639166</v>
      </c>
      <c r="D63" s="8">
        <f>SUM('Model inputs'!D65,'Model inputs'!D66)</f>
        <v>642</v>
      </c>
      <c r="E63" s="8">
        <f>SUM('Model inputs'!E65,'Model inputs'!E66)</f>
        <v>1361.04</v>
      </c>
      <c r="F63" s="8">
        <f>SUM('Model inputs'!F65,'Model inputs'!F66)</f>
        <v>2169.2537999999995</v>
      </c>
      <c r="G63" s="8">
        <f>SUM('Model inputs'!G65,'Model inputs'!G66)</f>
        <v>3080.5779359999997</v>
      </c>
      <c r="H63" s="8">
        <f>SUM('Model inputs'!H65,'Model inputs'!H66)</f>
        <v>4111.022610419999</v>
      </c>
      <c r="I63" s="8">
        <f>SUM('Model inputs'!I65,'Model inputs'!I66)</f>
        <v>5278.983246482399</v>
      </c>
      <c r="J63" s="8">
        <f>SUM('Model inputs'!J65,'Model inputs'!J66)</f>
        <v>6605.5987606191775</v>
      </c>
      <c r="K63" s="8">
        <f>SUM('Model inputs'!K65,'Model inputs'!K66)</f>
        <v>8115.1635610615385</v>
      </c>
      <c r="L63" s="8">
        <f>SUM('Model inputs'!L65,'Model inputs'!L66)</f>
        <v>9835.60133197977</v>
      </c>
      <c r="M63" s="8">
        <f>SUM('Model inputs'!M65,'Model inputs'!M66)</f>
        <v>11799.009871432965</v>
      </c>
      <c r="N63" s="8">
        <f>SUM('Model inputs'!N65,'Model inputs'!N66)</f>
        <v>14042.28764161445</v>
      </c>
    </row>
    <row r="64">
      <c r="A64" t="inlineStr" s="26">
        <is>
          <t xml:space="preserve">Revenue</t>
        </is>
      </c>
      <c r="B64" s="16">
        <f>IF('Model inputs'!B63="","",'Model inputs'!B63)</f>
        <v>16607.854288639166</v>
      </c>
      <c r="D64" s="16">
        <f>IF('Model inputs'!D63="","",'Model inputs'!D63)</f>
        <v>642</v>
      </c>
      <c r="E64" s="16">
        <f>IF('Model inputs'!E63="","",'Model inputs'!E63)</f>
        <v>1361.04</v>
      </c>
      <c r="F64" s="16">
        <f>IF('Model inputs'!F63="","",'Model inputs'!F63)</f>
        <v>2169.2537999999995</v>
      </c>
      <c r="G64" s="16">
        <f>IF('Model inputs'!G63="","",'Model inputs'!G63)</f>
        <v>3080.5779359999997</v>
      </c>
      <c r="H64" s="16">
        <f>IF('Model inputs'!H63="","",'Model inputs'!H63)</f>
        <v>4111.022610419999</v>
      </c>
      <c r="I64" s="16">
        <f>IF('Model inputs'!I63="","",'Model inputs'!I63)</f>
        <v>5278.983246482399</v>
      </c>
      <c r="J64" s="16">
        <f>IF('Model inputs'!J63="","",'Model inputs'!J63)</f>
        <v>6605.5987606191775</v>
      </c>
      <c r="K64" s="16">
        <f>IF('Model inputs'!K63="","",'Model inputs'!K63)</f>
        <v>8115.1635610615385</v>
      </c>
      <c r="L64" s="16">
        <f>IF('Model inputs'!L63="","",'Model inputs'!L63)</f>
        <v>9835.60133197977</v>
      </c>
      <c r="M64" s="16">
        <f>IF('Model inputs'!M63="","",'Model inputs'!M63)</f>
        <v>11799.009871432965</v>
      </c>
      <c r="N64" s="16">
        <f>IF('Model inputs'!N63="","",'Model inputs'!N63)</f>
        <v>14042.28764161445</v>
      </c>
    </row>
    <row r="65" outlineLevel="1">
      <c r="A65" t="inlineStr" s="27">
        <is>
          <t xml:space="preserve">Revenue &gt; Starter</t>
        </is>
      </c>
      <c r="B65" s="8">
        <f>'Model inputs'!B273+'Model inputs'!B283</f>
        <v>5277.262110408707</v>
      </c>
      <c r="D65" s="8">
        <f>'Model inputs'!D273+'Model inputs'!D283</f>
        <v>204</v>
      </c>
      <c r="E65" s="8">
        <f>'Model inputs'!E273+'Model inputs'!E283</f>
        <v>432.48</v>
      </c>
      <c r="F65" s="8">
        <f>'Model inputs'!F273+'Model inputs'!F283</f>
        <v>689.2955999999999</v>
      </c>
      <c r="G65" s="8">
        <f>'Model inputs'!G273+'Model inputs'!G283</f>
        <v>978.8752319999999</v>
      </c>
      <c r="H65" s="8">
        <f>'Model inputs'!H273+'Model inputs'!H283</f>
        <v>1306.30625004</v>
      </c>
      <c r="I65" s="8">
        <f>'Model inputs'!I273+'Model inputs'!I283</f>
        <v>1677.4339287887997</v>
      </c>
      <c r="J65" s="8">
        <f>'Model inputs'!J273+'Model inputs'!J283</f>
        <v>2098.9753071126356</v>
      </c>
      <c r="K65" s="8">
        <f>'Model inputs'!K273+'Model inputs'!K283</f>
        <v>2578.6501035148813</v>
      </c>
      <c r="L65" s="8">
        <f>'Model inputs'!L273+'Model inputs'!L283</f>
        <v>3125.331264367403</v>
      </c>
      <c r="M65" s="8">
        <f>'Model inputs'!M273+'Model inputs'!M283</f>
        <v>3749.2180899880445</v>
      </c>
      <c r="N65" s="8">
        <f>'Model inputs'!N273+'Model inputs'!N283</f>
        <v>4462.035325372815</v>
      </c>
    </row>
    <row r="66" outlineLevel="1">
      <c r="A66" t="inlineStr" s="27">
        <is>
          <t xml:space="preserve">Revenue &gt; Team</t>
        </is>
      </c>
      <c r="B66" s="8">
        <f>'Model inputs'!B274+'Model inputs'!B284</f>
        <v>11330.592178230458</v>
      </c>
      <c r="D66" s="8">
        <f>'Model inputs'!D274+'Model inputs'!D284</f>
        <v>438</v>
      </c>
      <c r="E66" s="8">
        <f>'Model inputs'!E274+'Model inputs'!E284</f>
        <v>928.56</v>
      </c>
      <c r="F66" s="8">
        <f>'Model inputs'!F274+'Model inputs'!F284</f>
        <v>1479.9581999999998</v>
      </c>
      <c r="G66" s="8">
        <f>'Model inputs'!G274+'Model inputs'!G284</f>
        <v>2101.702704</v>
      </c>
      <c r="H66" s="8">
        <f>'Model inputs'!H274+'Model inputs'!H284</f>
        <v>2804.7163603799995</v>
      </c>
      <c r="I66" s="8">
        <f>'Model inputs'!I274+'Model inputs'!I284</f>
        <v>3601.5493176935993</v>
      </c>
      <c r="J66" s="8">
        <f>'Model inputs'!J274+'Model inputs'!J284</f>
        <v>4506.623453506541</v>
      </c>
      <c r="K66" s="8">
        <f>'Model inputs'!K274+'Model inputs'!K284</f>
        <v>5536.513457546657</v>
      </c>
      <c r="L66" s="8">
        <f>'Model inputs'!L274+'Model inputs'!L284</f>
        <v>6710.270067612366</v>
      </c>
      <c r="M66" s="8">
        <f>'Model inputs'!M274+'Model inputs'!M284</f>
        <v>8049.79178144492</v>
      </c>
      <c r="N66" s="8">
        <f>'Model inputs'!N274+'Model inputs'!N284</f>
        <v>9580.252316241635</v>
      </c>
    </row>
    <row r="67">
      <c r="A67" t="inlineStr" s="26">
        <is>
          <t xml:space="preserve">Revenue · Bootstrap $5,000 — hypothetical</t>
        </is>
      </c>
      <c r="B67" s="8">
        <f>SUM('Model inputs'!B253,'Model inputs'!B254)</f>
        <v>5559.866138584902</v>
      </c>
      <c r="D67" s="8">
        <f>SUM('Model inputs'!D253,'Model inputs'!D254)</f>
        <v>321</v>
      </c>
      <c r="E67" s="8">
        <f>SUM('Model inputs'!E253,'Model inputs'!E254)</f>
        <v>658.0500000000001</v>
      </c>
      <c r="F67" s="8">
        <f>SUM('Model inputs'!F253,'Model inputs'!F254)</f>
        <v>1013.5575000000001</v>
      </c>
      <c r="G67" s="8">
        <f>SUM('Model inputs'!G253,'Model inputs'!G254)</f>
        <v>1390.1306250000005</v>
      </c>
      <c r="H67" s="8">
        <f>SUM('Model inputs'!H253,'Model inputs'!H254)</f>
        <v>1790.6001937500005</v>
      </c>
      <c r="I67" s="8">
        <f>SUM('Model inputs'!I253,'Model inputs'!I254)</f>
        <v>2218.043894062501</v>
      </c>
      <c r="J67" s="8">
        <f>SUM('Model inputs'!J253,'Model inputs'!J254)</f>
        <v>2675.8127803593757</v>
      </c>
      <c r="K67" s="8">
        <f>SUM('Model inputs'!K253,'Model inputs'!K254)</f>
        <v>3167.5603304414076</v>
      </c>
      <c r="L67" s="8">
        <f>SUM('Model inputs'!L253,'Model inputs'!L254)</f>
        <v>3697.274321929338</v>
      </c>
      <c r="M67" s="8">
        <f>SUM('Model inputs'!M253,'Model inputs'!M254)</f>
        <v>4269.311814643872</v>
      </c>
      <c r="N67" s="8">
        <f>SUM('Model inputs'!N253,'Model inputs'!N254)</f>
        <v>4888.43755360378</v>
      </c>
    </row>
    <row r="68">
      <c r="A68" t="inlineStr" s="26">
        <is>
          <t xml:space="preserve">Revenue · by  · NeatRescue — Hackathon submission · 12-month scenario comparison — hypothetical · Conservative</t>
        </is>
      </c>
      <c r="B68" s="8">
        <f>SUM('Model inputs'!B70,'Model inputs'!B71)</f>
        <v>1017.2135753589058</v>
      </c>
      <c r="D68" s="8">
        <f>SUM('Model inputs'!D70,'Model inputs'!D71)</f>
        <v>105.75</v>
      </c>
      <c r="E68" s="8">
        <f>SUM('Model inputs'!E70,'Model inputs'!E71)</f>
        <v>206.21250000000003</v>
      </c>
      <c r="F68" s="8">
        <f>SUM('Model inputs'!F70,'Model inputs'!F71)</f>
        <v>301.90567500000003</v>
      </c>
      <c r="G68" s="8">
        <f>SUM('Model inputs'!G70,'Model inputs'!G71)</f>
        <v>393.30910125</v>
      </c>
      <c r="H68" s="8">
        <f>SUM('Model inputs'!H70,'Model inputs'!H71)</f>
        <v>480.86692980750007</v>
      </c>
      <c r="I68" s="8">
        <f>SUM('Model inputs'!I70,'Model inputs'!I71)</f>
        <v>564.990808780125</v>
      </c>
      <c r="J68" s="8">
        <f>SUM('Model inputs'!J70,'Model inputs'!J71)</f>
        <v>646.0625744356569</v>
      </c>
      <c r="K68" s="8">
        <f>SUM('Model inputs'!K70,'Model inputs'!K71)</f>
        <v>724.4367297494841</v>
      </c>
      <c r="L68" s="8">
        <f>SUM('Model inputs'!L70,'Model inputs'!L71)</f>
        <v>800.4427274762659</v>
      </c>
      <c r="M68" s="8">
        <f>SUM('Model inputs'!M70,'Model inputs'!M71)</f>
        <v>874.3870734681074</v>
      </c>
      <c r="N68" s="8">
        <f>SUM('Model inputs'!N70,'Model inputs'!N71)</f>
        <v>946.5552647062996</v>
      </c>
    </row>
    <row r="69">
      <c r="A69" t="inlineStr" s="26">
        <is>
          <t xml:space="preserve">Revenue</t>
        </is>
      </c>
      <c r="B69" s="16">
        <f>IF('Model inputs'!B68="","",'Model inputs'!B68)</f>
        <v>1017.2135753589058</v>
      </c>
      <c r="D69" s="16">
        <f>IF('Model inputs'!D68="","",'Model inputs'!D68)</f>
        <v>105.75</v>
      </c>
      <c r="E69" s="16">
        <f>IF('Model inputs'!E68="","",'Model inputs'!E68)</f>
        <v>206.21250000000003</v>
      </c>
      <c r="F69" s="16">
        <f>IF('Model inputs'!F68="","",'Model inputs'!F68)</f>
        <v>301.90567500000003</v>
      </c>
      <c r="G69" s="16">
        <f>IF('Model inputs'!G68="","",'Model inputs'!G68)</f>
        <v>393.30910125</v>
      </c>
      <c r="H69" s="16">
        <f>IF('Model inputs'!H68="","",'Model inputs'!H68)</f>
        <v>480.86692980750007</v>
      </c>
      <c r="I69" s="16">
        <f>IF('Model inputs'!I68="","",'Model inputs'!I68)</f>
        <v>564.990808780125</v>
      </c>
      <c r="J69" s="16">
        <f>IF('Model inputs'!J68="","",'Model inputs'!J68)</f>
        <v>646.0625744356569</v>
      </c>
      <c r="K69" s="16">
        <f>IF('Model inputs'!K68="","",'Model inputs'!K68)</f>
        <v>724.4367297494841</v>
      </c>
      <c r="L69" s="16">
        <f>IF('Model inputs'!L68="","",'Model inputs'!L68)</f>
        <v>800.4427274762659</v>
      </c>
      <c r="M69" s="16">
        <f>IF('Model inputs'!M68="","",'Model inputs'!M68)</f>
        <v>874.3870734681074</v>
      </c>
      <c r="N69" s="16">
        <f>IF('Model inputs'!N68="","",'Model inputs'!N68)</f>
        <v>946.5552647062996</v>
      </c>
    </row>
    <row r="70" outlineLevel="1">
      <c r="A70" t="inlineStr" s="27">
        <is>
          <t xml:space="preserve">Revenue &gt; Starter</t>
        </is>
      </c>
      <c r="B70" s="8">
        <f>'Model inputs'!B276+'Model inputs'!B286</f>
        <v>490.5710859886922</v>
      </c>
      <c r="D70" s="8">
        <f>'Model inputs'!D276+'Model inputs'!D286</f>
        <v>51</v>
      </c>
      <c r="E70" s="8">
        <f>'Model inputs'!E276+'Model inputs'!E286</f>
        <v>99.45000000000002</v>
      </c>
      <c r="F70" s="8">
        <f>'Model inputs'!F276+'Model inputs'!F286</f>
        <v>145.59990000000002</v>
      </c>
      <c r="G70" s="8">
        <f>'Model inputs'!G276+'Model inputs'!G286</f>
        <v>189.68098500000002</v>
      </c>
      <c r="H70" s="8">
        <f>'Model inputs'!H276+'Model inputs'!H286</f>
        <v>231.90745551000003</v>
      </c>
      <c r="I70" s="8">
        <f>'Model inputs'!I276+'Model inputs'!I286</f>
        <v>272.47783685850004</v>
      </c>
      <c r="J70" s="8">
        <f>'Model inputs'!J276+'Model inputs'!J286</f>
        <v>311.57627703279906</v>
      </c>
      <c r="K70" s="8">
        <f>'Model inputs'!K276+'Model inputs'!K286</f>
        <v>349.37374200684343</v>
      </c>
      <c r="L70" s="8">
        <f>'Model inputs'!L276+'Model inputs'!L286</f>
        <v>386.0291167970644</v>
      </c>
      <c r="M70" s="8">
        <f>'Model inputs'!M276+'Model inputs'!M286</f>
        <v>421.6902198285908</v>
      </c>
      <c r="N70" s="8">
        <f>'Model inputs'!N276+'Model inputs'!N286</f>
        <v>456.4947375888537</v>
      </c>
    </row>
    <row r="71" outlineLevel="1">
      <c r="A71" t="inlineStr" s="27">
        <is>
          <t xml:space="preserve">Revenue &gt; Team</t>
        </is>
      </c>
      <c r="B71" s="8">
        <f>'Model inputs'!B277+'Model inputs'!B287</f>
        <v>526.6424893702136</v>
      </c>
      <c r="D71" s="8">
        <f>'Model inputs'!D277+'Model inputs'!D287</f>
        <v>54.75</v>
      </c>
      <c r="E71" s="8">
        <f>'Model inputs'!E277+'Model inputs'!E287</f>
        <v>106.7625</v>
      </c>
      <c r="F71" s="8">
        <f>'Model inputs'!F277+'Model inputs'!F287</f>
        <v>156.305775</v>
      </c>
      <c r="G71" s="8">
        <f>'Model inputs'!G277+'Model inputs'!G287</f>
        <v>203.62811625</v>
      </c>
      <c r="H71" s="8">
        <f>'Model inputs'!H277+'Model inputs'!H287</f>
        <v>248.95947429750004</v>
      </c>
      <c r="I71" s="8">
        <f>'Model inputs'!I277+'Model inputs'!I287</f>
        <v>292.512971921625</v>
      </c>
      <c r="J71" s="8">
        <f>'Model inputs'!J277+'Model inputs'!J287</f>
        <v>334.48629740285776</v>
      </c>
      <c r="K71" s="8">
        <f>'Model inputs'!K277+'Model inputs'!K287</f>
        <v>375.06298774264076</v>
      </c>
      <c r="L71" s="8">
        <f>'Model inputs'!L277+'Model inputs'!L287</f>
        <v>414.4136106792015</v>
      </c>
      <c r="M71" s="8">
        <f>'Model inputs'!M277+'Model inputs'!M287</f>
        <v>452.6968536395166</v>
      </c>
      <c r="N71" s="8">
        <f>'Model inputs'!N277+'Model inputs'!N287</f>
        <v>490.0605271174459</v>
      </c>
    </row>
    <row r="72">
      <c r="A72" t="inlineStr" s="26">
        <is>
          <t xml:space="preserve">Sensitivity customer-month factor</t>
        </is>
      </c>
      <c r="P72" s="6">
        <f>IFERROR(((1+'Model inputs'!O146)^1-(1-'Model inputs'!P259)^1)/('Model inputs'!O146+'Model inputs'!P259),1)+IFERROR(((1+'Model inputs'!O146)^2-(1-'Model inputs'!P259)^2)/('Model inputs'!O146+'Model inputs'!P259),2)+IFERROR(((1+'Model inputs'!O146)^3-(1-'Model inputs'!P259)^3)/('Model inputs'!O146+'Model inputs'!P259),3)+IFERROR(((1+'Model inputs'!O146)^4-(1-'Model inputs'!P259)^4)/('Model inputs'!O146+'Model inputs'!P259),4)+IFERROR(((1+'Model inputs'!O146)^5-(1-'Model inputs'!P259)^5)/('Model inputs'!O146+'Model inputs'!P259),5)+IFERROR(((1+'Model inputs'!O146)^6-(1-'Model inputs'!P259)^6)/('Model inputs'!O146+'Model inputs'!P259),6)+IFERROR(((1+'Model inputs'!O146)^7-(1-'Model inputs'!P259)^7)/('Model inputs'!O146+'Model inputs'!P259),7)+IFERROR(((1+'Model inputs'!O146)^8-(1-'Model inputs'!P259)^8)/('Model inputs'!O146+'Model inputs'!P259),8)+IFERROR(((1+'Model inputs'!O146)^9-(1-'Model inputs'!P259)^9)/('Model inputs'!O146+'Model inputs'!P259),9)+IFERROR(((1+'Model inputs'!O146)^10-(1-'Model inputs'!P259)^10)/('Model inputs'!O146+'Model inputs'!P259),10)+IFERROR(((1+'Model inputs'!O146)^11-(1-'Model inputs'!P259)^11)/('Model inputs'!O146+'Model inputs'!P259),11)+IFERROR(((1+'Model inputs'!O146)^12-(1-'Model inputs'!P259)^12)/('Model inputs'!O146+'Model inputs'!P259),12)</f>
        <v>115.22712143931017</v>
      </c>
    </row>
    <row r="73" outlineLevel="1">
      <c r="A73" t="inlineStr" s="27">
        <is>
          <t xml:space="preserve">Sensitivity customer-month factor &gt; Inference $0.025 / churn 10%</t>
        </is>
      </c>
      <c r="P73" s="9">
        <f>IFERROR(((1+'Model inputs'!O146)^1-(1-'Model inputs'!P260)^1)/('Model inputs'!O146+'Model inputs'!P260),1)+IFERROR(((1+'Model inputs'!O146)^2-(1-'Model inputs'!P260)^2)/('Model inputs'!O146+'Model inputs'!P260),2)+IFERROR(((1+'Model inputs'!O146)^3-(1-'Model inputs'!P260)^3)/('Model inputs'!O146+'Model inputs'!P260),3)+IFERROR(((1+'Model inputs'!O146)^4-(1-'Model inputs'!P260)^4)/('Model inputs'!O146+'Model inputs'!P260),4)+IFERROR(((1+'Model inputs'!O146)^5-(1-'Model inputs'!P260)^5)/('Model inputs'!O146+'Model inputs'!P260),5)+IFERROR(((1+'Model inputs'!O146)^6-(1-'Model inputs'!P260)^6)/('Model inputs'!O146+'Model inputs'!P260),6)+IFERROR(((1+'Model inputs'!O146)^7-(1-'Model inputs'!P260)^7)/('Model inputs'!O146+'Model inputs'!P260),7)+IFERROR(((1+'Model inputs'!O146)^8-(1-'Model inputs'!P260)^8)/('Model inputs'!O146+'Model inputs'!P260),8)+IFERROR(((1+'Model inputs'!O146)^9-(1-'Model inputs'!P260)^9)/('Model inputs'!O146+'Model inputs'!P260),9)+IFERROR(((1+'Model inputs'!O146)^10-(1-'Model inputs'!P260)^10)/('Model inputs'!O146+'Model inputs'!P260),10)+IFERROR(((1+'Model inputs'!O146)^11-(1-'Model inputs'!P260)^11)/('Model inputs'!O146+'Model inputs'!P260),11)+IFERROR(((1+'Model inputs'!O146)^12-(1-'Model inputs'!P260)^12)/('Model inputs'!O146+'Model inputs'!P260),12)</f>
        <v>85.32288986130007</v>
      </c>
    </row>
    <row r="74" outlineLevel="1">
      <c r="A74" t="inlineStr" s="27">
        <is>
          <t xml:space="preserve">Sensitivity customer-month factor &gt; Inference $0.025 / churn 2%</t>
        </is>
      </c>
      <c r="P74" s="9">
        <f>IFERROR(((1+'Model inputs'!O146)^1-(1-'Model inputs'!P261)^1)/('Model inputs'!O146+'Model inputs'!P261),1)+IFERROR(((1+'Model inputs'!O146)^2-(1-'Model inputs'!P261)^2)/('Model inputs'!O146+'Model inputs'!P261),2)+IFERROR(((1+'Model inputs'!O146)^3-(1-'Model inputs'!P261)^3)/('Model inputs'!O146+'Model inputs'!P261),3)+IFERROR(((1+'Model inputs'!O146)^4-(1-'Model inputs'!P261)^4)/('Model inputs'!O146+'Model inputs'!P261),4)+IFERROR(((1+'Model inputs'!O146)^5-(1-'Model inputs'!P261)^5)/('Model inputs'!O146+'Model inputs'!P261),5)+IFERROR(((1+'Model inputs'!O146)^6-(1-'Model inputs'!P261)^6)/('Model inputs'!O146+'Model inputs'!P261),6)+IFERROR(((1+'Model inputs'!O146)^7-(1-'Model inputs'!P261)^7)/('Model inputs'!O146+'Model inputs'!P261),7)+IFERROR(((1+'Model inputs'!O146)^8-(1-'Model inputs'!P261)^8)/('Model inputs'!O146+'Model inputs'!P261),8)+IFERROR(((1+'Model inputs'!O146)^9-(1-'Model inputs'!P261)^9)/('Model inputs'!O146+'Model inputs'!P261),9)+IFERROR(((1+'Model inputs'!O146)^10-(1-'Model inputs'!P261)^10)/('Model inputs'!O146+'Model inputs'!P261),10)+IFERROR(((1+'Model inputs'!O146)^11-(1-'Model inputs'!P261)^11)/('Model inputs'!O146+'Model inputs'!P261),11)+IFERROR(((1+'Model inputs'!O146)^12-(1-'Model inputs'!P261)^12)/('Model inputs'!O146+'Model inputs'!P261),12)</f>
        <v>108.11526339113516</v>
      </c>
    </row>
    <row r="75" outlineLevel="1">
      <c r="A75" t="inlineStr" s="27">
        <is>
          <t xml:space="preserve">Sensitivity customer-month factor &gt; Inference $0.025 / churn 5%</t>
        </is>
      </c>
      <c r="P75" s="9">
        <f>IFERROR(((1+'Model inputs'!O146)^1-(1-'Model inputs'!P262)^1)/('Model inputs'!O146+'Model inputs'!P262),1)+IFERROR(((1+'Model inputs'!O146)^2-(1-'Model inputs'!P262)^2)/('Model inputs'!O146+'Model inputs'!P262),2)+IFERROR(((1+'Model inputs'!O146)^3-(1-'Model inputs'!P262)^3)/('Model inputs'!O146+'Model inputs'!P262),3)+IFERROR(((1+'Model inputs'!O146)^4-(1-'Model inputs'!P262)^4)/('Model inputs'!O146+'Model inputs'!P262),4)+IFERROR(((1+'Model inputs'!O146)^5-(1-'Model inputs'!P262)^5)/('Model inputs'!O146+'Model inputs'!P262),5)+IFERROR(((1+'Model inputs'!O146)^6-(1-'Model inputs'!P262)^6)/('Model inputs'!O146+'Model inputs'!P262),6)+IFERROR(((1+'Model inputs'!O146)^7-(1-'Model inputs'!P262)^7)/('Model inputs'!O146+'Model inputs'!P262),7)+IFERROR(((1+'Model inputs'!O146)^8-(1-'Model inputs'!P262)^8)/('Model inputs'!O146+'Model inputs'!P262),8)+IFERROR(((1+'Model inputs'!O146)^9-(1-'Model inputs'!P262)^9)/('Model inputs'!O146+'Model inputs'!P262),9)+IFERROR(((1+'Model inputs'!O146)^10-(1-'Model inputs'!P262)^10)/('Model inputs'!O146+'Model inputs'!P262),10)+IFERROR(((1+'Model inputs'!O146)^11-(1-'Model inputs'!P262)^11)/('Model inputs'!O146+'Model inputs'!P262),11)+IFERROR(((1+'Model inputs'!O146)^12-(1-'Model inputs'!P262)^12)/('Model inputs'!O146+'Model inputs'!P262),12)</f>
        <v>98.59702539680745</v>
      </c>
    </row>
    <row r="76" outlineLevel="1">
      <c r="A76" t="inlineStr" s="27">
        <is>
          <t xml:space="preserve">Sensitivity customer-month factor &gt; Inference $0.050 / churn 10%</t>
        </is>
      </c>
      <c r="P76" s="9">
        <f>IFERROR(((1+'Model inputs'!O146)^1-(1-'Model inputs'!P263)^1)/('Model inputs'!O146+'Model inputs'!P263),1)+IFERROR(((1+'Model inputs'!O146)^2-(1-'Model inputs'!P263)^2)/('Model inputs'!O146+'Model inputs'!P263),2)+IFERROR(((1+'Model inputs'!O146)^3-(1-'Model inputs'!P263)^3)/('Model inputs'!O146+'Model inputs'!P263),3)+IFERROR(((1+'Model inputs'!O146)^4-(1-'Model inputs'!P263)^4)/('Model inputs'!O146+'Model inputs'!P263),4)+IFERROR(((1+'Model inputs'!O146)^5-(1-'Model inputs'!P263)^5)/('Model inputs'!O146+'Model inputs'!P263),5)+IFERROR(((1+'Model inputs'!O146)^6-(1-'Model inputs'!P263)^6)/('Model inputs'!O146+'Model inputs'!P263),6)+IFERROR(((1+'Model inputs'!O146)^7-(1-'Model inputs'!P263)^7)/('Model inputs'!O146+'Model inputs'!P263),7)+IFERROR(((1+'Model inputs'!O146)^8-(1-'Model inputs'!P263)^8)/('Model inputs'!O146+'Model inputs'!P263),8)+IFERROR(((1+'Model inputs'!O146)^9-(1-'Model inputs'!P263)^9)/('Model inputs'!O146+'Model inputs'!P263),9)+IFERROR(((1+'Model inputs'!O146)^10-(1-'Model inputs'!P263)^10)/('Model inputs'!O146+'Model inputs'!P263),10)+IFERROR(((1+'Model inputs'!O146)^11-(1-'Model inputs'!P263)^11)/('Model inputs'!O146+'Model inputs'!P263),11)+IFERROR(((1+'Model inputs'!O146)^12-(1-'Model inputs'!P263)^12)/('Model inputs'!O146+'Model inputs'!P263),12)</f>
        <v>85.32288986130007</v>
      </c>
    </row>
    <row r="77" outlineLevel="1">
      <c r="A77" t="inlineStr" s="27">
        <is>
          <t xml:space="preserve">Sensitivity customer-month factor &gt; Inference $0.050 / churn 2%</t>
        </is>
      </c>
      <c r="P77" s="9">
        <f>IFERROR(((1+'Model inputs'!O146)^1-(1-'Model inputs'!P264)^1)/('Model inputs'!O146+'Model inputs'!P264),1)+IFERROR(((1+'Model inputs'!O146)^2-(1-'Model inputs'!P264)^2)/('Model inputs'!O146+'Model inputs'!P264),2)+IFERROR(((1+'Model inputs'!O146)^3-(1-'Model inputs'!P264)^3)/('Model inputs'!O146+'Model inputs'!P264),3)+IFERROR(((1+'Model inputs'!O146)^4-(1-'Model inputs'!P264)^4)/('Model inputs'!O146+'Model inputs'!P264),4)+IFERROR(((1+'Model inputs'!O146)^5-(1-'Model inputs'!P264)^5)/('Model inputs'!O146+'Model inputs'!P264),5)+IFERROR(((1+'Model inputs'!O146)^6-(1-'Model inputs'!P264)^6)/('Model inputs'!O146+'Model inputs'!P264),6)+IFERROR(((1+'Model inputs'!O146)^7-(1-'Model inputs'!P264)^7)/('Model inputs'!O146+'Model inputs'!P264),7)+IFERROR(((1+'Model inputs'!O146)^8-(1-'Model inputs'!P264)^8)/('Model inputs'!O146+'Model inputs'!P264),8)+IFERROR(((1+'Model inputs'!O146)^9-(1-'Model inputs'!P264)^9)/('Model inputs'!O146+'Model inputs'!P264),9)+IFERROR(((1+'Model inputs'!O146)^10-(1-'Model inputs'!P264)^10)/('Model inputs'!O146+'Model inputs'!P264),10)+IFERROR(((1+'Model inputs'!O146)^11-(1-'Model inputs'!P264)^11)/('Model inputs'!O146+'Model inputs'!P264),11)+IFERROR(((1+'Model inputs'!O146)^12-(1-'Model inputs'!P264)^12)/('Model inputs'!O146+'Model inputs'!P264),12)</f>
        <v>108.11526339113516</v>
      </c>
    </row>
    <row r="78" outlineLevel="1">
      <c r="A78" t="inlineStr" s="27">
        <is>
          <t xml:space="preserve">Sensitivity customer-month factor &gt; Inference $0.050 / churn 5%</t>
        </is>
      </c>
      <c r="P78" s="9">
        <f>IFERROR(((1+'Model inputs'!O146)^1-(1-'Model inputs'!P265)^1)/('Model inputs'!O146+'Model inputs'!P265),1)+IFERROR(((1+'Model inputs'!O146)^2-(1-'Model inputs'!P265)^2)/('Model inputs'!O146+'Model inputs'!P265),2)+IFERROR(((1+'Model inputs'!O146)^3-(1-'Model inputs'!P265)^3)/('Model inputs'!O146+'Model inputs'!P265),3)+IFERROR(((1+'Model inputs'!O146)^4-(1-'Model inputs'!P265)^4)/('Model inputs'!O146+'Model inputs'!P265),4)+IFERROR(((1+'Model inputs'!O146)^5-(1-'Model inputs'!P265)^5)/('Model inputs'!O146+'Model inputs'!P265),5)+IFERROR(((1+'Model inputs'!O146)^6-(1-'Model inputs'!P265)^6)/('Model inputs'!O146+'Model inputs'!P265),6)+IFERROR(((1+'Model inputs'!O146)^7-(1-'Model inputs'!P265)^7)/('Model inputs'!O146+'Model inputs'!P265),7)+IFERROR(((1+'Model inputs'!O146)^8-(1-'Model inputs'!P265)^8)/('Model inputs'!O146+'Model inputs'!P265),8)+IFERROR(((1+'Model inputs'!O146)^9-(1-'Model inputs'!P265)^9)/('Model inputs'!O146+'Model inputs'!P265),9)+IFERROR(((1+'Model inputs'!O146)^10-(1-'Model inputs'!P265)^10)/('Model inputs'!O146+'Model inputs'!P265),10)+IFERROR(((1+'Model inputs'!O146)^11-(1-'Model inputs'!P265)^11)/('Model inputs'!O146+'Model inputs'!P265),11)+IFERROR(((1+'Model inputs'!O146)^12-(1-'Model inputs'!P265)^12)/('Model inputs'!O146+'Model inputs'!P265),12)</f>
        <v>98.59702539680745</v>
      </c>
    </row>
    <row r="79" outlineLevel="1">
      <c r="A79" t="inlineStr" s="27">
        <is>
          <t xml:space="preserve">Sensitivity customer-month factor &gt; Inference $0.150 / churn 10%</t>
        </is>
      </c>
      <c r="P79" s="9">
        <f>IFERROR(((1+'Model inputs'!O146)^1-(1-'Model inputs'!P266)^1)/('Model inputs'!O146+'Model inputs'!P266),1)+IFERROR(((1+'Model inputs'!O146)^2-(1-'Model inputs'!P266)^2)/('Model inputs'!O146+'Model inputs'!P266),2)+IFERROR(((1+'Model inputs'!O146)^3-(1-'Model inputs'!P266)^3)/('Model inputs'!O146+'Model inputs'!P266),3)+IFERROR(((1+'Model inputs'!O146)^4-(1-'Model inputs'!P266)^4)/('Model inputs'!O146+'Model inputs'!P266),4)+IFERROR(((1+'Model inputs'!O146)^5-(1-'Model inputs'!P266)^5)/('Model inputs'!O146+'Model inputs'!P266),5)+IFERROR(((1+'Model inputs'!O146)^6-(1-'Model inputs'!P266)^6)/('Model inputs'!O146+'Model inputs'!P266),6)+IFERROR(((1+'Model inputs'!O146)^7-(1-'Model inputs'!P266)^7)/('Model inputs'!O146+'Model inputs'!P266),7)+IFERROR(((1+'Model inputs'!O146)^8-(1-'Model inputs'!P266)^8)/('Model inputs'!O146+'Model inputs'!P266),8)+IFERROR(((1+'Model inputs'!O146)^9-(1-'Model inputs'!P266)^9)/('Model inputs'!O146+'Model inputs'!P266),9)+IFERROR(((1+'Model inputs'!O146)^10-(1-'Model inputs'!P266)^10)/('Model inputs'!O146+'Model inputs'!P266),10)+IFERROR(((1+'Model inputs'!O146)^11-(1-'Model inputs'!P266)^11)/('Model inputs'!O146+'Model inputs'!P266),11)+IFERROR(((1+'Model inputs'!O146)^12-(1-'Model inputs'!P266)^12)/('Model inputs'!O146+'Model inputs'!P266),12)</f>
        <v>85.32288986130007</v>
      </c>
    </row>
    <row r="80" outlineLevel="1">
      <c r="A80" t="inlineStr" s="27">
        <is>
          <t xml:space="preserve">Sensitivity customer-month factor &gt; Inference $0.150 / churn 2%</t>
        </is>
      </c>
      <c r="P80" s="9">
        <f>IFERROR(((1+'Model inputs'!O146)^1-(1-'Model inputs'!P267)^1)/('Model inputs'!O146+'Model inputs'!P267),1)+IFERROR(((1+'Model inputs'!O146)^2-(1-'Model inputs'!P267)^2)/('Model inputs'!O146+'Model inputs'!P267),2)+IFERROR(((1+'Model inputs'!O146)^3-(1-'Model inputs'!P267)^3)/('Model inputs'!O146+'Model inputs'!P267),3)+IFERROR(((1+'Model inputs'!O146)^4-(1-'Model inputs'!P267)^4)/('Model inputs'!O146+'Model inputs'!P267),4)+IFERROR(((1+'Model inputs'!O146)^5-(1-'Model inputs'!P267)^5)/('Model inputs'!O146+'Model inputs'!P267),5)+IFERROR(((1+'Model inputs'!O146)^6-(1-'Model inputs'!P267)^6)/('Model inputs'!O146+'Model inputs'!P267),6)+IFERROR(((1+'Model inputs'!O146)^7-(1-'Model inputs'!P267)^7)/('Model inputs'!O146+'Model inputs'!P267),7)+IFERROR(((1+'Model inputs'!O146)^8-(1-'Model inputs'!P267)^8)/('Model inputs'!O146+'Model inputs'!P267),8)+IFERROR(((1+'Model inputs'!O146)^9-(1-'Model inputs'!P267)^9)/('Model inputs'!O146+'Model inputs'!P267),9)+IFERROR(((1+'Model inputs'!O146)^10-(1-'Model inputs'!P267)^10)/('Model inputs'!O146+'Model inputs'!P267),10)+IFERROR(((1+'Model inputs'!O146)^11-(1-'Model inputs'!P267)^11)/('Model inputs'!O146+'Model inputs'!P267),11)+IFERROR(((1+'Model inputs'!O146)^12-(1-'Model inputs'!P267)^12)/('Model inputs'!O146+'Model inputs'!P267),12)</f>
        <v>108.11526339113516</v>
      </c>
    </row>
    <row r="81" outlineLevel="1">
      <c r="A81" t="inlineStr" s="27">
        <is>
          <t xml:space="preserve">Sensitivity customer-month factor &gt; Inference $0.150 / churn 5%</t>
        </is>
      </c>
      <c r="P81" s="9">
        <f>IFERROR(((1+'Model inputs'!O146)^1-(1-'Model inputs'!P268)^1)/('Model inputs'!O146+'Model inputs'!P268),1)+IFERROR(((1+'Model inputs'!O146)^2-(1-'Model inputs'!P268)^2)/('Model inputs'!O146+'Model inputs'!P268),2)+IFERROR(((1+'Model inputs'!O146)^3-(1-'Model inputs'!P268)^3)/('Model inputs'!O146+'Model inputs'!P268),3)+IFERROR(((1+'Model inputs'!O146)^4-(1-'Model inputs'!P268)^4)/('Model inputs'!O146+'Model inputs'!P268),4)+IFERROR(((1+'Model inputs'!O146)^5-(1-'Model inputs'!P268)^5)/('Model inputs'!O146+'Model inputs'!P268),5)+IFERROR(((1+'Model inputs'!O146)^6-(1-'Model inputs'!P268)^6)/('Model inputs'!O146+'Model inputs'!P268),6)+IFERROR(((1+'Model inputs'!O146)^7-(1-'Model inputs'!P268)^7)/('Model inputs'!O146+'Model inputs'!P268),7)+IFERROR(((1+'Model inputs'!O146)^8-(1-'Model inputs'!P268)^8)/('Model inputs'!O146+'Model inputs'!P268),8)+IFERROR(((1+'Model inputs'!O146)^9-(1-'Model inputs'!P268)^9)/('Model inputs'!O146+'Model inputs'!P268),9)+IFERROR(((1+'Model inputs'!O146)^10-(1-'Model inputs'!P268)^10)/('Model inputs'!O146+'Model inputs'!P268),10)+IFERROR(((1+'Model inputs'!O146)^11-(1-'Model inputs'!P268)^11)/('Model inputs'!O146+'Model inputs'!P268),11)+IFERROR(((1+'Model inputs'!O146)^12-(1-'Model inputs'!P268)^12)/('Model inputs'!O146+'Model inputs'!P268),12)</f>
        <v>98.59702539680745</v>
      </c>
    </row>
    <row r="82" outlineLevel="1">
      <c r="A82" t="inlineStr" s="27">
        <is>
          <t xml:space="preserve">Sensitivity customer-month factor &gt; Inference $0.300 / churn 10%</t>
        </is>
      </c>
      <c r="P82" s="9">
        <f>IFERROR(((1+'Model inputs'!O146)^1-(1-'Model inputs'!P269)^1)/('Model inputs'!O146+'Model inputs'!P269),1)+IFERROR(((1+'Model inputs'!O146)^2-(1-'Model inputs'!P269)^2)/('Model inputs'!O146+'Model inputs'!P269),2)+IFERROR(((1+'Model inputs'!O146)^3-(1-'Model inputs'!P269)^3)/('Model inputs'!O146+'Model inputs'!P269),3)+IFERROR(((1+'Model inputs'!O146)^4-(1-'Model inputs'!P269)^4)/('Model inputs'!O146+'Model inputs'!P269),4)+IFERROR(((1+'Model inputs'!O146)^5-(1-'Model inputs'!P269)^5)/('Model inputs'!O146+'Model inputs'!P269),5)+IFERROR(((1+'Model inputs'!O146)^6-(1-'Model inputs'!P269)^6)/('Model inputs'!O146+'Model inputs'!P269),6)+IFERROR(((1+'Model inputs'!O146)^7-(1-'Model inputs'!P269)^7)/('Model inputs'!O146+'Model inputs'!P269),7)+IFERROR(((1+'Model inputs'!O146)^8-(1-'Model inputs'!P269)^8)/('Model inputs'!O146+'Model inputs'!P269),8)+IFERROR(((1+'Model inputs'!O146)^9-(1-'Model inputs'!P269)^9)/('Model inputs'!O146+'Model inputs'!P269),9)+IFERROR(((1+'Model inputs'!O146)^10-(1-'Model inputs'!P269)^10)/('Model inputs'!O146+'Model inputs'!P269),10)+IFERROR(((1+'Model inputs'!O146)^11-(1-'Model inputs'!P269)^11)/('Model inputs'!O146+'Model inputs'!P269),11)+IFERROR(((1+'Model inputs'!O146)^12-(1-'Model inputs'!P269)^12)/('Model inputs'!O146+'Model inputs'!P269),12)</f>
        <v>85.32288986130007</v>
      </c>
    </row>
    <row r="83" outlineLevel="1">
      <c r="A83" t="inlineStr" s="27">
        <is>
          <t xml:space="preserve">Sensitivity customer-month factor &gt; Inference $0.300 / churn 2%</t>
        </is>
      </c>
      <c r="P83" s="9">
        <f>IFERROR(((1+'Model inputs'!O146)^1-(1-'Model inputs'!P270)^1)/('Model inputs'!O146+'Model inputs'!P270),1)+IFERROR(((1+'Model inputs'!O146)^2-(1-'Model inputs'!P270)^2)/('Model inputs'!O146+'Model inputs'!P270),2)+IFERROR(((1+'Model inputs'!O146)^3-(1-'Model inputs'!P270)^3)/('Model inputs'!O146+'Model inputs'!P270),3)+IFERROR(((1+'Model inputs'!O146)^4-(1-'Model inputs'!P270)^4)/('Model inputs'!O146+'Model inputs'!P270),4)+IFERROR(((1+'Model inputs'!O146)^5-(1-'Model inputs'!P270)^5)/('Model inputs'!O146+'Model inputs'!P270),5)+IFERROR(((1+'Model inputs'!O146)^6-(1-'Model inputs'!P270)^6)/('Model inputs'!O146+'Model inputs'!P270),6)+IFERROR(((1+'Model inputs'!O146)^7-(1-'Model inputs'!P270)^7)/('Model inputs'!O146+'Model inputs'!P270),7)+IFERROR(((1+'Model inputs'!O146)^8-(1-'Model inputs'!P270)^8)/('Model inputs'!O146+'Model inputs'!P270),8)+IFERROR(((1+'Model inputs'!O146)^9-(1-'Model inputs'!P270)^9)/('Model inputs'!O146+'Model inputs'!P270),9)+IFERROR(((1+'Model inputs'!O146)^10-(1-'Model inputs'!P270)^10)/('Model inputs'!O146+'Model inputs'!P270),10)+IFERROR(((1+'Model inputs'!O146)^11-(1-'Model inputs'!P270)^11)/('Model inputs'!O146+'Model inputs'!P270),11)+IFERROR(((1+'Model inputs'!O146)^12-(1-'Model inputs'!P270)^12)/('Model inputs'!O146+'Model inputs'!P270),12)</f>
        <v>108.11526339113516</v>
      </c>
    </row>
    <row r="84" outlineLevel="1">
      <c r="A84" t="inlineStr" s="27">
        <is>
          <t xml:space="preserve">Sensitivity customer-month factor &gt; Inference $0.300 / churn 5%</t>
        </is>
      </c>
      <c r="P84" s="9">
        <f>IFERROR(((1+'Model inputs'!O146)^1-(1-'Model inputs'!P271)^1)/('Model inputs'!O146+'Model inputs'!P271),1)+IFERROR(((1+'Model inputs'!O146)^2-(1-'Model inputs'!P271)^2)/('Model inputs'!O146+'Model inputs'!P271),2)+IFERROR(((1+'Model inputs'!O146)^3-(1-'Model inputs'!P271)^3)/('Model inputs'!O146+'Model inputs'!P271),3)+IFERROR(((1+'Model inputs'!O146)^4-(1-'Model inputs'!P271)^4)/('Model inputs'!O146+'Model inputs'!P271),4)+IFERROR(((1+'Model inputs'!O146)^5-(1-'Model inputs'!P271)^5)/('Model inputs'!O146+'Model inputs'!P271),5)+IFERROR(((1+'Model inputs'!O146)^6-(1-'Model inputs'!P271)^6)/('Model inputs'!O146+'Model inputs'!P271),6)+IFERROR(((1+'Model inputs'!O146)^7-(1-'Model inputs'!P271)^7)/('Model inputs'!O146+'Model inputs'!P271),7)+IFERROR(((1+'Model inputs'!O146)^8-(1-'Model inputs'!P271)^8)/('Model inputs'!O146+'Model inputs'!P271),8)+IFERROR(((1+'Model inputs'!O146)^9-(1-'Model inputs'!P271)^9)/('Model inputs'!O146+'Model inputs'!P271),9)+IFERROR(((1+'Model inputs'!O146)^10-(1-'Model inputs'!P271)^10)/('Model inputs'!O146+'Model inputs'!P271),10)+IFERROR(((1+'Model inputs'!O146)^11-(1-'Model inputs'!P271)^11)/('Model inputs'!O146+'Model inputs'!P271),11)+IFERROR(((1+'Model inputs'!O146)^12-(1-'Model inputs'!P271)^12)/('Model inputs'!O146+'Model inputs'!P271),12)</f>
        <v>98.59702539680745</v>
      </c>
    </row>
    <row r="85">
      <c r="A85" t="inlineStr" s="26">
        <is>
          <t xml:space="preserve">Sensitivity month 12 factor</t>
        </is>
      </c>
      <c r="P85" s="6">
        <f>IFERROR(((1+'Model inputs'!O146)^12-(1-'Model inputs'!P259)^12)/('Model inputs'!O146+'Model inputs'!P259),12)</f>
        <v>21.38428376721003</v>
      </c>
    </row>
    <row r="86" outlineLevel="1">
      <c r="A86" t="inlineStr" s="27">
        <is>
          <t xml:space="preserve">Sensitivity month 12 factor &gt; Inference $0.025 / churn 10%</t>
        </is>
      </c>
      <c r="P86" s="9">
        <f>IFERROR(((1+'Model inputs'!O146)^12-(1-'Model inputs'!P260)^12)/('Model inputs'!O146+'Model inputs'!P260),12)</f>
        <v>14.279994201200013</v>
      </c>
    </row>
    <row r="87" outlineLevel="1">
      <c r="A87" t="inlineStr" s="27">
        <is>
          <t xml:space="preserve">Sensitivity month 12 factor &gt; Inference $0.025 / churn 2%</t>
        </is>
      </c>
      <c r="P87" s="9">
        <f>IFERROR(((1+'Model inputs'!O146)^12-(1-'Model inputs'!P261)^12)/('Model inputs'!O146+'Model inputs'!P261),12)</f>
        <v>19.61426377488503</v>
      </c>
    </row>
    <row r="88" outlineLevel="1">
      <c r="A88" t="inlineStr" s="27">
        <is>
          <t xml:space="preserve">Sensitivity month 12 factor &gt; Inference $0.025 / churn 5%</t>
        </is>
      </c>
      <c r="P88" s="9">
        <f>IFERROR(((1+'Model inputs'!O146)^12-(1-'Model inputs'!P262)^12)/('Model inputs'!O146+'Model inputs'!P262),12)</f>
        <v>17.320455260389107</v>
      </c>
    </row>
    <row r="89" outlineLevel="1">
      <c r="A89" t="inlineStr" s="27">
        <is>
          <t xml:space="preserve">Sensitivity month 12 factor &gt; Inference $0.050 / churn 10%</t>
        </is>
      </c>
      <c r="P89" s="9">
        <f>IFERROR(((1+'Model inputs'!O146)^12-(1-'Model inputs'!P263)^12)/('Model inputs'!O146+'Model inputs'!P263),12)</f>
        <v>14.279994201200013</v>
      </c>
    </row>
    <row r="90" outlineLevel="1">
      <c r="A90" t="inlineStr" s="27">
        <is>
          <t xml:space="preserve">Sensitivity month 12 factor &gt; Inference $0.050 / churn 2%</t>
        </is>
      </c>
      <c r="P90" s="9">
        <f>IFERROR(((1+'Model inputs'!O146)^12-(1-'Model inputs'!P264)^12)/('Model inputs'!O146+'Model inputs'!P264),12)</f>
        <v>19.61426377488503</v>
      </c>
    </row>
    <row r="91" outlineLevel="1">
      <c r="A91" t="inlineStr" s="27">
        <is>
          <t xml:space="preserve">Sensitivity month 12 factor &gt; Inference $0.050 / churn 5%</t>
        </is>
      </c>
      <c r="P91" s="9">
        <f>IFERROR(((1+'Model inputs'!O146)^12-(1-'Model inputs'!P265)^12)/('Model inputs'!O146+'Model inputs'!P265),12)</f>
        <v>17.320455260389107</v>
      </c>
    </row>
    <row r="92" outlineLevel="1">
      <c r="A92" t="inlineStr" s="27">
        <is>
          <t xml:space="preserve">Sensitivity month 12 factor &gt; Inference $0.150 / churn 10%</t>
        </is>
      </c>
      <c r="P92" s="9">
        <f>IFERROR(((1+'Model inputs'!O146)^12-(1-'Model inputs'!P266)^12)/('Model inputs'!O146+'Model inputs'!P266),12)</f>
        <v>14.279994201200013</v>
      </c>
    </row>
    <row r="93" outlineLevel="1">
      <c r="A93" t="inlineStr" s="27">
        <is>
          <t xml:space="preserve">Sensitivity month 12 factor &gt; Inference $0.150 / churn 2%</t>
        </is>
      </c>
      <c r="P93" s="9">
        <f>IFERROR(((1+'Model inputs'!O146)^12-(1-'Model inputs'!P267)^12)/('Model inputs'!O146+'Model inputs'!P267),12)</f>
        <v>19.61426377488503</v>
      </c>
    </row>
    <row r="94" outlineLevel="1">
      <c r="A94" t="inlineStr" s="27">
        <is>
          <t xml:space="preserve">Sensitivity month 12 factor &gt; Inference $0.150 / churn 5%</t>
        </is>
      </c>
      <c r="P94" s="9">
        <f>IFERROR(((1+'Model inputs'!O146)^12-(1-'Model inputs'!P268)^12)/('Model inputs'!O146+'Model inputs'!P268),12)</f>
        <v>17.320455260389107</v>
      </c>
    </row>
    <row r="95" outlineLevel="1">
      <c r="A95" t="inlineStr" s="27">
        <is>
          <t xml:space="preserve">Sensitivity month 12 factor &gt; Inference $0.300 / churn 10%</t>
        </is>
      </c>
      <c r="P95" s="9">
        <f>IFERROR(((1+'Model inputs'!O146)^12-(1-'Model inputs'!P269)^12)/('Model inputs'!O146+'Model inputs'!P269),12)</f>
        <v>14.279994201200013</v>
      </c>
    </row>
    <row r="96" outlineLevel="1">
      <c r="A96" t="inlineStr" s="27">
        <is>
          <t xml:space="preserve">Sensitivity month 12 factor &gt; Inference $0.300 / churn 2%</t>
        </is>
      </c>
      <c r="P96" s="9">
        <f>IFERROR(((1+'Model inputs'!O146)^12-(1-'Model inputs'!P270)^12)/('Model inputs'!O146+'Model inputs'!P270),12)</f>
        <v>19.61426377488503</v>
      </c>
    </row>
    <row r="97" outlineLevel="1">
      <c r="A97" t="inlineStr" s="27">
        <is>
          <t xml:space="preserve">Sensitivity month 12 factor &gt; Inference $0.300 / churn 5%</t>
        </is>
      </c>
      <c r="P97" s="9">
        <f>IFERROR(((1+'Model inputs'!O146)^12-(1-'Model inputs'!P271)^12)/('Model inputs'!O146+'Model inputs'!P271),12)</f>
        <v>17.320455260389107</v>
      </c>
    </row>
    <row r="98">
      <c r="A98" t="inlineStr" s="26">
        <is>
          <t xml:space="preserve">Acquisition expense · NeatRescue — Cash &amp; scenarios · Profit, burn &amp; cash runway</t>
        </is>
      </c>
      <c r="B98" s="8">
        <f>IF('Model inputs'!P144="","",'Model inputs'!P144)</f>
        <v>150</v>
      </c>
      <c r="C98" s="8">
        <v>0</v>
      </c>
      <c r="D98" s="8">
        <f>IF('Model inputs'!P144="","",'Model inputs'!P144)</f>
        <v>150</v>
      </c>
      <c r="E98" s="8">
        <f>IF('Model inputs'!P144="","",'Model inputs'!P144)</f>
        <v>150</v>
      </c>
      <c r="F98" s="8">
        <f>IF('Model inputs'!P144="","",'Model inputs'!P144)</f>
        <v>150</v>
      </c>
      <c r="G98" s="8">
        <f>IF('Model inputs'!P144="","",'Model inputs'!P144)</f>
        <v>150</v>
      </c>
      <c r="H98" s="8">
        <f>IF('Model inputs'!P144="","",'Model inputs'!P144)</f>
        <v>150</v>
      </c>
      <c r="I98" s="8">
        <f>IF('Model inputs'!P144="","",'Model inputs'!P144)</f>
        <v>150</v>
      </c>
      <c r="J98" s="8">
        <f>IF('Model inputs'!P144="","",'Model inputs'!P144)</f>
        <v>150</v>
      </c>
      <c r="K98" s="8">
        <f>IF('Model inputs'!P144="","",'Model inputs'!P144)</f>
        <v>150</v>
      </c>
      <c r="L98" s="8">
        <f>IF('Model inputs'!P144="","",'Model inputs'!P144)</f>
        <v>150</v>
      </c>
      <c r="M98" s="8">
        <f>IF('Model inputs'!P144="","",'Model inputs'!P144)</f>
        <v>150</v>
      </c>
      <c r="N98" s="8">
        <f>IF('Model inputs'!P144="","",'Model inputs'!P144)</f>
        <v>150</v>
      </c>
    </row>
    <row r="99">
      <c r="A99" t="inlineStr" s="26">
        <is>
          <t xml:space="preserve">Churned customers</t>
        </is>
      </c>
      <c r="B99" s="6">
        <f>SUM('Model inputs'!B100,'Model inputs'!B101)</f>
        <v>2.284316613833542</v>
      </c>
      <c r="C99" s="6">
        <f>SUM('Model inputs'!C100,'Model inputs'!C101)</f>
        <v>0</v>
      </c>
      <c r="D99" s="6">
        <f>SUM('Model inputs'!D100,'Model inputs'!D101)</f>
        <v>0</v>
      </c>
      <c r="E99" s="6">
        <f>SUM('Model inputs'!E100,'Model inputs'!E101)</f>
        <v>0.15000000000000002</v>
      </c>
      <c r="F99" s="6">
        <f>SUM('Model inputs'!F100,'Model inputs'!F101)</f>
        <v>0.30750000000000005</v>
      </c>
      <c r="G99" s="6">
        <f>SUM('Model inputs'!G100,'Model inputs'!G101)</f>
        <v>0.47362500000000013</v>
      </c>
      <c r="H99" s="6">
        <f>SUM('Model inputs'!H100,'Model inputs'!H101)</f>
        <v>0.6495937500000002</v>
      </c>
      <c r="I99" s="6">
        <f>SUM('Model inputs'!I100,'Model inputs'!I101)</f>
        <v>0.8367290625000001</v>
      </c>
      <c r="J99" s="6">
        <f>SUM('Model inputs'!J100,'Model inputs'!J101)</f>
        <v>1.0364691093750005</v>
      </c>
      <c r="K99" s="6">
        <f>SUM('Model inputs'!K100,'Model inputs'!K101)</f>
        <v>1.2503798039062506</v>
      </c>
      <c r="L99" s="6">
        <f>SUM('Model inputs'!L100,'Model inputs'!L101)</f>
        <v>1.4801683787109383</v>
      </c>
      <c r="M99" s="6">
        <f>SUM('Model inputs'!M100,'Model inputs'!M101)</f>
        <v>1.7276982812753916</v>
      </c>
      <c r="N99" s="6">
        <f>SUM('Model inputs'!N100,'Model inputs'!N101)</f>
        <v>1.9950055208616226</v>
      </c>
    </row>
    <row r="100" outlineLevel="1">
      <c r="A100" t="inlineStr" s="27">
        <is>
          <t xml:space="preserve">Churned customers &gt; Starter</t>
        </is>
      </c>
      <c r="B100" s="9">
        <f>'Model inputs'!B110*'Model inputs'!O204</f>
        <v>1.5228777425556945</v>
      </c>
      <c r="C100" s="9">
        <f>0</f>
        <v>0</v>
      </c>
      <c r="D100" s="9">
        <f>'Model inputs'!D110*'Model inputs'!O204</f>
        <v>0</v>
      </c>
      <c r="E100" s="9">
        <f>'Model inputs'!E110*'Model inputs'!O204</f>
        <v>0.1</v>
      </c>
      <c r="F100" s="9">
        <f>'Model inputs'!F110*'Model inputs'!O204</f>
        <v>0.20500000000000004</v>
      </c>
      <c r="G100" s="9">
        <f>'Model inputs'!G110*'Model inputs'!O204</f>
        <v>0.3157500000000001</v>
      </c>
      <c r="H100" s="9">
        <f>'Model inputs'!H110*'Model inputs'!O204</f>
        <v>0.43306250000000013</v>
      </c>
      <c r="I100" s="9">
        <f>'Model inputs'!I110*'Model inputs'!O204</f>
        <v>0.5578193750000001</v>
      </c>
      <c r="J100" s="9">
        <f>'Model inputs'!J110*'Model inputs'!O204</f>
        <v>0.6909794062500003</v>
      </c>
      <c r="K100" s="9">
        <f>'Model inputs'!K110*'Model inputs'!O204</f>
        <v>0.8335865359375003</v>
      </c>
      <c r="L100" s="9">
        <f>'Model inputs'!L110*'Model inputs'!O204</f>
        <v>0.9867789191406255</v>
      </c>
      <c r="M100" s="9">
        <f>'Model inputs'!M110*'Model inputs'!O204</f>
        <v>1.1517988541835944</v>
      </c>
      <c r="N100" s="9">
        <f>'Model inputs'!N110*'Model inputs'!O204</f>
        <v>1.330003680574415</v>
      </c>
    </row>
    <row r="101" outlineLevel="1">
      <c r="A101" t="inlineStr" s="27">
        <is>
          <t xml:space="preserve">Churned customers &gt; Team</t>
        </is>
      </c>
      <c r="B101" s="9">
        <f>'Model inputs'!B111*'Model inputs'!O204</f>
        <v>0.7614388712778473</v>
      </c>
      <c r="C101" s="9">
        <f>0</f>
        <v>0</v>
      </c>
      <c r="D101" s="9">
        <f>'Model inputs'!D111*'Model inputs'!O204</f>
        <v>0</v>
      </c>
      <c r="E101" s="9">
        <f>'Model inputs'!E111*'Model inputs'!O204</f>
        <v>0.05</v>
      </c>
      <c r="F101" s="9">
        <f>'Model inputs'!F111*'Model inputs'!O204</f>
        <v>0.10250000000000002</v>
      </c>
      <c r="G101" s="9">
        <f>'Model inputs'!G111*'Model inputs'!O204</f>
        <v>0.15787500000000004</v>
      </c>
      <c r="H101" s="9">
        <f>'Model inputs'!H111*'Model inputs'!O204</f>
        <v>0.21653125000000006</v>
      </c>
      <c r="I101" s="9">
        <f>'Model inputs'!I111*'Model inputs'!O204</f>
        <v>0.27890968750000006</v>
      </c>
      <c r="J101" s="9">
        <f>'Model inputs'!J111*'Model inputs'!O204</f>
        <v>0.34548970312500016</v>
      </c>
      <c r="K101" s="9">
        <f>'Model inputs'!K111*'Model inputs'!O204</f>
        <v>0.41679326796875016</v>
      </c>
      <c r="L101" s="9">
        <f>'Model inputs'!L111*'Model inputs'!O204</f>
        <v>0.49338945957031277</v>
      </c>
      <c r="M101" s="9">
        <f>'Model inputs'!M111*'Model inputs'!O204</f>
        <v>0.5758994270917972</v>
      </c>
      <c r="N101" s="9">
        <f>'Model inputs'!N111*'Model inputs'!O204</f>
        <v>0.6650018402872075</v>
      </c>
    </row>
    <row r="102">
      <c r="A102" t="inlineStr" s="26">
        <is>
          <t xml:space="preserve">Contribution per customer · NeatRescue — Cash &amp; scenarios · Profit, burn &amp; cash runway</t>
        </is>
      </c>
      <c r="B102" s="8">
        <f>IFERROR('Model inputs'!B122/'Model inputs'!B16,"")</f>
        <v>74.18999999999998</v>
      </c>
      <c r="D102" s="8">
        <f>IFERROR('Model inputs'!D122/'Model inputs'!D16,"")</f>
        <v>74.19</v>
      </c>
      <c r="E102" s="8">
        <f>IFERROR('Model inputs'!E122/'Model inputs'!E16,"")</f>
        <v>74.19</v>
      </c>
      <c r="F102" s="8">
        <f>IFERROR('Model inputs'!F122/'Model inputs'!F16,"")</f>
        <v>74.19</v>
      </c>
      <c r="G102" s="8">
        <f>IFERROR('Model inputs'!G122/'Model inputs'!G16,"")</f>
        <v>74.19</v>
      </c>
      <c r="H102" s="8">
        <f>IFERROR('Model inputs'!H122/'Model inputs'!H16,"")</f>
        <v>74.19</v>
      </c>
      <c r="I102" s="8">
        <f>IFERROR('Model inputs'!I122/'Model inputs'!I16,"")</f>
        <v>74.19000000000001</v>
      </c>
      <c r="J102" s="8">
        <f>IFERROR('Model inputs'!J122/'Model inputs'!J16,"")</f>
        <v>74.19</v>
      </c>
      <c r="K102" s="8">
        <f>IFERROR('Model inputs'!K122/'Model inputs'!K16,"")</f>
        <v>74.19</v>
      </c>
      <c r="L102" s="8">
        <f>IFERROR('Model inputs'!L122/'Model inputs'!L16,"")</f>
        <v>74.19</v>
      </c>
      <c r="M102" s="8">
        <f>IFERROR('Model inputs'!M122/'Model inputs'!M16,"")</f>
        <v>74.19</v>
      </c>
      <c r="N102" s="8">
        <f>IFERROR('Model inputs'!N122/'Model inputs'!N16,"")</f>
        <v>74.19</v>
      </c>
    </row>
    <row r="103">
      <c r="A103" t="inlineStr" s="26">
        <is>
          <t xml:space="preserve">Fixed delivery costs · NeatRescue — Cash &amp; scenarios · Profit, burn &amp; cash runway</t>
        </is>
      </c>
      <c r="B103" s="8">
        <f>'Model inputs'!P149+'Model inputs'!P147+'Model inputs'!P151+'Model inputs'!P161</f>
        <v>225</v>
      </c>
      <c r="C103" s="8">
        <v>0</v>
      </c>
      <c r="D103" s="8">
        <f>'Model inputs'!P149+'Model inputs'!P147+'Model inputs'!P151+'Model inputs'!P161</f>
        <v>225</v>
      </c>
      <c r="E103" s="8">
        <f>'Model inputs'!P149+'Model inputs'!P147+'Model inputs'!P151+'Model inputs'!P161</f>
        <v>225</v>
      </c>
      <c r="F103" s="8">
        <f>'Model inputs'!P149+'Model inputs'!P147+'Model inputs'!P151+'Model inputs'!P161</f>
        <v>225</v>
      </c>
      <c r="G103" s="8">
        <f>'Model inputs'!P149+'Model inputs'!P147+'Model inputs'!P151+'Model inputs'!P161</f>
        <v>225</v>
      </c>
      <c r="H103" s="8">
        <f>'Model inputs'!P149+'Model inputs'!P147+'Model inputs'!P151+'Model inputs'!P161</f>
        <v>225</v>
      </c>
      <c r="I103" s="8">
        <f>'Model inputs'!P149+'Model inputs'!P147+'Model inputs'!P151+'Model inputs'!P161</f>
        <v>225</v>
      </c>
      <c r="J103" s="8">
        <f>'Model inputs'!P149+'Model inputs'!P147+'Model inputs'!P151+'Model inputs'!P161</f>
        <v>225</v>
      </c>
      <c r="K103" s="8">
        <f>'Model inputs'!P149+'Model inputs'!P147+'Model inputs'!P151+'Model inputs'!P161</f>
        <v>225</v>
      </c>
      <c r="L103" s="8">
        <f>'Model inputs'!P149+'Model inputs'!P147+'Model inputs'!P151+'Model inputs'!P161</f>
        <v>225</v>
      </c>
      <c r="M103" s="8">
        <f>'Model inputs'!P149+'Model inputs'!P147+'Model inputs'!P151+'Model inputs'!P161</f>
        <v>225</v>
      </c>
      <c r="N103" s="8">
        <f>'Model inputs'!P149+'Model inputs'!P147+'Model inputs'!P151+'Model inputs'!P161</f>
        <v>225</v>
      </c>
    </row>
    <row r="104">
      <c r="A104" t="inlineStr" s="26">
        <is>
          <t xml:space="preserve">Founder pay · NeatRescue — Cash &amp; scenarios · Profit, burn &amp; cash runway</t>
        </is>
      </c>
      <c r="B104" s="8">
        <f>IF('Model inputs'!P131="","",'Model inputs'!P131)</f>
        <v>0</v>
      </c>
      <c r="C104" s="8">
        <v>0</v>
      </c>
      <c r="D104" s="8">
        <f>IF('Model inputs'!P131="","",'Model inputs'!P131)</f>
        <v>0</v>
      </c>
      <c r="E104" s="8">
        <f>IF('Model inputs'!P131="","",'Model inputs'!P131)</f>
        <v>0</v>
      </c>
      <c r="F104" s="8">
        <f>IF('Model inputs'!P131="","",'Model inputs'!P131)</f>
        <v>0</v>
      </c>
      <c r="G104" s="8">
        <f>IF('Model inputs'!P131="","",'Model inputs'!P131)</f>
        <v>0</v>
      </c>
      <c r="H104" s="8">
        <f>IF('Model inputs'!P131="","",'Model inputs'!P131)</f>
        <v>0</v>
      </c>
      <c r="I104" s="8">
        <f>IF('Model inputs'!P131="","",'Model inputs'!P131)</f>
        <v>0</v>
      </c>
      <c r="J104" s="8">
        <f>IF('Model inputs'!P131="","",'Model inputs'!P131)</f>
        <v>0</v>
      </c>
      <c r="K104" s="8">
        <f>IF('Model inputs'!P131="","",'Model inputs'!P131)</f>
        <v>0</v>
      </c>
      <c r="L104" s="8">
        <f>IF('Model inputs'!P131="","",'Model inputs'!P131)</f>
        <v>0</v>
      </c>
      <c r="M104" s="8">
        <f>IF('Model inputs'!P131="","",'Model inputs'!P131)</f>
        <v>0</v>
      </c>
      <c r="N104" s="8">
        <f>IF('Model inputs'!P131="","",'Model inputs'!P131)</f>
        <v>0</v>
      </c>
    </row>
    <row r="105">
      <c r="A105" t="inlineStr" s="26">
        <is>
          <t xml:space="preserve">New customers</t>
        </is>
      </c>
      <c r="B105" s="6">
        <f>SUM('Model inputs'!B106,'Model inputs'!B107)</f>
        <v>8.55935011833001</v>
      </c>
      <c r="C105" s="6">
        <f>SUM('Model inputs'!C106,'Model inputs'!C107)</f>
        <v>0</v>
      </c>
      <c r="D105" s="6">
        <f>SUM('Model inputs'!D106,'Model inputs'!D107)</f>
        <v>3</v>
      </c>
      <c r="E105" s="6">
        <f>SUM('Model inputs'!E106,'Model inputs'!E107)</f>
        <v>3.3000000000000003</v>
      </c>
      <c r="F105" s="6">
        <f>SUM('Model inputs'!F106,'Model inputs'!F107)</f>
        <v>3.630000000000001</v>
      </c>
      <c r="G105" s="6">
        <f>SUM('Model inputs'!G106,'Model inputs'!G107)</f>
        <v>3.993000000000001</v>
      </c>
      <c r="H105" s="6">
        <f>SUM('Model inputs'!H106,'Model inputs'!H107)</f>
        <v>4.392300000000002</v>
      </c>
      <c r="I105" s="6">
        <f>SUM('Model inputs'!I106,'Model inputs'!I107)</f>
        <v>4.8315300000000025</v>
      </c>
      <c r="J105" s="6">
        <f>SUM('Model inputs'!J106,'Model inputs'!J107)</f>
        <v>5.314683000000003</v>
      </c>
      <c r="K105" s="6">
        <f>SUM('Model inputs'!K106,'Model inputs'!K107)</f>
        <v>5.846151300000004</v>
      </c>
      <c r="L105" s="6">
        <f>SUM('Model inputs'!L106,'Model inputs'!L107)</f>
        <v>6.430766430000005</v>
      </c>
      <c r="M105" s="6">
        <f>SUM('Model inputs'!M106,'Model inputs'!M107)</f>
        <v>7.073843073000006</v>
      </c>
      <c r="N105" s="6">
        <f>SUM('Model inputs'!N106,'Model inputs'!N107)</f>
        <v>7.781227380300007</v>
      </c>
    </row>
    <row r="106" outlineLevel="1">
      <c r="A106" t="inlineStr" s="27">
        <is>
          <t xml:space="preserve">New customers &gt; Starter</t>
        </is>
      </c>
      <c r="B106" s="9">
        <f>'Model inputs'!N106*(1+'Model inputs'!O146)</f>
        <v>5.706233412220006</v>
      </c>
      <c r="C106" s="9">
        <f>0</f>
        <v>0</v>
      </c>
      <c r="D106" s="9">
        <f>IF('Model inputs'!P126="","",'Model inputs'!P126)</f>
        <v>2</v>
      </c>
      <c r="E106" s="9">
        <f>'Model inputs'!D106*(1+'Model inputs'!O146)</f>
        <v>2.2</v>
      </c>
      <c r="F106" s="9">
        <f>'Model inputs'!E106*(1+'Model inputs'!O146)</f>
        <v>2.4200000000000004</v>
      </c>
      <c r="G106" s="9">
        <f>'Model inputs'!F106*(1+'Model inputs'!O146)</f>
        <v>2.662000000000001</v>
      </c>
      <c r="H106" s="9">
        <f>'Model inputs'!G106*(1+'Model inputs'!O146)</f>
        <v>2.9282000000000012</v>
      </c>
      <c r="I106" s="9">
        <f>'Model inputs'!H106*(1+'Model inputs'!O146)</f>
        <v>3.2210200000000015</v>
      </c>
      <c r="J106" s="9">
        <f>'Model inputs'!I106*(1+'Model inputs'!O146)</f>
        <v>3.543122000000002</v>
      </c>
      <c r="K106" s="9">
        <f>'Model inputs'!J106*(1+'Model inputs'!O146)</f>
        <v>3.897434200000003</v>
      </c>
      <c r="L106" s="9">
        <f>'Model inputs'!K106*(1+'Model inputs'!O146)</f>
        <v>4.287177620000003</v>
      </c>
      <c r="M106" s="9">
        <f>'Model inputs'!L106*(1+'Model inputs'!O146)</f>
        <v>4.715895382000004</v>
      </c>
      <c r="N106" s="9">
        <f>'Model inputs'!M106*(1+'Model inputs'!O146)</f>
        <v>5.187484920200005</v>
      </c>
    </row>
    <row r="107" outlineLevel="1">
      <c r="A107" t="inlineStr" s="27">
        <is>
          <t xml:space="preserve">New customers &gt; Team</t>
        </is>
      </c>
      <c r="B107" s="9">
        <f>'Model inputs'!N107*(1+'Model inputs'!O146)</f>
        <v>2.853116706110003</v>
      </c>
      <c r="C107" s="9">
        <f>0</f>
        <v>0</v>
      </c>
      <c r="D107" s="9">
        <f>IF('Model inputs'!P127="","",'Model inputs'!P127)</f>
        <v>1</v>
      </c>
      <c r="E107" s="9">
        <f>'Model inputs'!D107*(1+'Model inputs'!O146)</f>
        <v>1.1</v>
      </c>
      <c r="F107" s="9">
        <f>'Model inputs'!E107*(1+'Model inputs'!O146)</f>
        <v>1.2100000000000002</v>
      </c>
      <c r="G107" s="9">
        <f>'Model inputs'!F107*(1+'Model inputs'!O146)</f>
        <v>1.3310000000000004</v>
      </c>
      <c r="H107" s="9">
        <f>'Model inputs'!G107*(1+'Model inputs'!O146)</f>
        <v>1.4641000000000006</v>
      </c>
      <c r="I107" s="9">
        <f>'Model inputs'!H107*(1+'Model inputs'!O146)</f>
        <v>1.6105100000000008</v>
      </c>
      <c r="J107" s="9">
        <f>'Model inputs'!I107*(1+'Model inputs'!O146)</f>
        <v>1.771561000000001</v>
      </c>
      <c r="K107" s="9">
        <f>'Model inputs'!J107*(1+'Model inputs'!O146)</f>
        <v>1.9487171000000014</v>
      </c>
      <c r="L107" s="9">
        <f>'Model inputs'!K107*(1+'Model inputs'!O146)</f>
        <v>2.1435888100000016</v>
      </c>
      <c r="M107" s="9">
        <f>'Model inputs'!L107*(1+'Model inputs'!O146)</f>
        <v>2.357947691000002</v>
      </c>
      <c r="N107" s="9">
        <f>'Model inputs'!M107*(1+'Model inputs'!O146)</f>
        <v>2.5937424601000023</v>
      </c>
    </row>
    <row r="108">
      <c r="A108" t="inlineStr" s="26">
        <is>
          <t xml:space="preserve">One-time launch cost · NeatRescue — Cash &amp; scenarios · Profit, burn &amp; cash runway</t>
        </is>
      </c>
      <c r="B108" s="8">
        <f>0</f>
        <v>0</v>
      </c>
      <c r="C108" s="8">
        <v>0</v>
      </c>
      <c r="D108" s="8">
        <f>IF('Model inputs'!P142="","",'Model inputs'!P142)</f>
        <v>200</v>
      </c>
      <c r="E108" s="8">
        <f>0</f>
        <v>0</v>
      </c>
      <c r="F108" s="8">
        <f>0</f>
        <v>0</v>
      </c>
      <c r="G108" s="8">
        <f>0</f>
        <v>0</v>
      </c>
      <c r="H108" s="8">
        <f>0</f>
        <v>0</v>
      </c>
      <c r="I108" s="8">
        <f>0</f>
        <v>0</v>
      </c>
      <c r="J108" s="8">
        <f>0</f>
        <v>0</v>
      </c>
      <c r="K108" s="8">
        <f>0</f>
        <v>0</v>
      </c>
      <c r="L108" s="8">
        <f>0</f>
        <v>0</v>
      </c>
      <c r="M108" s="8">
        <f>0</f>
        <v>0</v>
      </c>
      <c r="N108" s="8">
        <f>0</f>
        <v>0</v>
      </c>
    </row>
    <row r="109">
      <c r="A109" t="inlineStr" s="26">
        <is>
          <t xml:space="preserve">Opening customers</t>
        </is>
      </c>
      <c r="B109" s="6">
        <f>SUM('Model inputs'!B110,'Model inputs'!B111)</f>
        <v>45.68633227667084</v>
      </c>
      <c r="C109" s="6">
        <f>SUM('Model inputs'!C110,'Model inputs'!C111)</f>
        <v>0</v>
      </c>
      <c r="D109" s="6">
        <f>SUM('Model inputs'!D110,'Model inputs'!D111)</f>
        <v>0</v>
      </c>
      <c r="E109" s="6">
        <f>SUM('Model inputs'!E110,'Model inputs'!E111)</f>
        <v>3</v>
      </c>
      <c r="F109" s="6">
        <f>SUM('Model inputs'!F110,'Model inputs'!F111)</f>
        <v>6.15</v>
      </c>
      <c r="G109" s="6">
        <f>SUM('Model inputs'!G110,'Model inputs'!G111)</f>
        <v>9.472500000000002</v>
      </c>
      <c r="H109" s="6">
        <f>SUM('Model inputs'!H110,'Model inputs'!H111)</f>
        <v>12.991875000000004</v>
      </c>
      <c r="I109" s="6">
        <f>SUM('Model inputs'!I110,'Model inputs'!I111)</f>
        <v>16.734581250000005</v>
      </c>
      <c r="J109" s="6">
        <f>SUM('Model inputs'!J110,'Model inputs'!J111)</f>
        <v>20.729382187500008</v>
      </c>
      <c r="K109" s="6">
        <f>SUM('Model inputs'!K110,'Model inputs'!K111)</f>
        <v>25.007596078125008</v>
      </c>
      <c r="L109" s="6">
        <f>SUM('Model inputs'!L110,'Model inputs'!L111)</f>
        <v>29.603367574218765</v>
      </c>
      <c r="M109" s="6">
        <f>SUM('Model inputs'!M110,'Model inputs'!M111)</f>
        <v>34.55396562550783</v>
      </c>
      <c r="N109" s="6">
        <f>SUM('Model inputs'!N110,'Model inputs'!N111)</f>
        <v>39.90011041723245</v>
      </c>
    </row>
    <row r="110" outlineLevel="1">
      <c r="A110" t="inlineStr" s="27">
        <is>
          <t xml:space="preserve">Opening customers &gt; Starter</t>
        </is>
      </c>
      <c r="B110" s="9">
        <f>IF('Model inputs'!N18="","",'Model inputs'!N18)</f>
        <v>30.45755485111389</v>
      </c>
      <c r="C110" s="9">
        <f>0</f>
        <v>0</v>
      </c>
      <c r="D110" s="9">
        <f>IF('Model inputs'!C18="","",'Model inputs'!C18)</f>
        <v>0</v>
      </c>
      <c r="E110" s="9">
        <f>IF('Model inputs'!D18="","",'Model inputs'!D18)</f>
        <v>2</v>
      </c>
      <c r="F110" s="9">
        <f>IF('Model inputs'!E18="","",'Model inputs'!E18)</f>
        <v>4.1000000000000005</v>
      </c>
      <c r="G110" s="9">
        <f>IF('Model inputs'!F18="","",'Model inputs'!F18)</f>
        <v>6.315000000000001</v>
      </c>
      <c r="H110" s="9">
        <f>IF('Model inputs'!G18="","",'Model inputs'!G18)</f>
        <v>8.661250000000003</v>
      </c>
      <c r="I110" s="9">
        <f>IF('Model inputs'!H18="","",'Model inputs'!H18)</f>
        <v>11.156387500000003</v>
      </c>
      <c r="J110" s="9">
        <f>IF('Model inputs'!I18="","",'Model inputs'!I18)</f>
        <v>13.819588125000005</v>
      </c>
      <c r="K110" s="9">
        <f>IF('Model inputs'!J18="","",'Model inputs'!J18)</f>
        <v>16.671730718750005</v>
      </c>
      <c r="L110" s="9">
        <f>IF('Model inputs'!K18="","",'Model inputs'!K18)</f>
        <v>19.73557838281251</v>
      </c>
      <c r="M110" s="9">
        <f>IF('Model inputs'!L18="","",'Model inputs'!L18)</f>
        <v>23.035977083671888</v>
      </c>
      <c r="N110" s="9">
        <f>IF('Model inputs'!M18="","",'Model inputs'!M18)</f>
        <v>26.6000736114883</v>
      </c>
    </row>
    <row r="111" outlineLevel="1">
      <c r="A111" t="inlineStr" s="27">
        <is>
          <t xml:space="preserve">Opening customers &gt; Team</t>
        </is>
      </c>
      <c r="B111" s="9">
        <f>IF('Model inputs'!N19="","",'Model inputs'!N19)</f>
        <v>15.228777425556945</v>
      </c>
      <c r="C111" s="9">
        <f>0</f>
        <v>0</v>
      </c>
      <c r="D111" s="9">
        <f>IF('Model inputs'!C19="","",'Model inputs'!C19)</f>
        <v>0</v>
      </c>
      <c r="E111" s="9">
        <f>IF('Model inputs'!D19="","",'Model inputs'!D19)</f>
        <v>1</v>
      </c>
      <c r="F111" s="9">
        <f>IF('Model inputs'!E19="","",'Model inputs'!E19)</f>
        <v>2.0500000000000003</v>
      </c>
      <c r="G111" s="9">
        <f>IF('Model inputs'!F19="","",'Model inputs'!F19)</f>
        <v>3.1575000000000006</v>
      </c>
      <c r="H111" s="9">
        <f>IF('Model inputs'!G19="","",'Model inputs'!G19)</f>
        <v>4.330625000000001</v>
      </c>
      <c r="I111" s="9">
        <f>IF('Model inputs'!H19="","",'Model inputs'!H19)</f>
        <v>5.578193750000001</v>
      </c>
      <c r="J111" s="9">
        <f>IF('Model inputs'!I19="","",'Model inputs'!I19)</f>
        <v>6.909794062500002</v>
      </c>
      <c r="K111" s="9">
        <f>IF('Model inputs'!J19="","",'Model inputs'!J19)</f>
        <v>8.335865359375003</v>
      </c>
      <c r="L111" s="9">
        <f>IF('Model inputs'!K19="","",'Model inputs'!K19)</f>
        <v>9.867789191406255</v>
      </c>
      <c r="M111" s="9">
        <f>IF('Model inputs'!L19="","",'Model inputs'!L19)</f>
        <v>11.517988541835944</v>
      </c>
      <c r="N111" s="9">
        <f>IF('Model inputs'!M19="","",'Model inputs'!M19)</f>
        <v>13.30003680574415</v>
      </c>
    </row>
    <row r="112">
      <c r="A112" t="inlineStr" s="26">
        <is>
          <t xml:space="preserve">Security expense · NeatRescue — Cash &amp; scenarios · Profit, burn &amp; cash runway</t>
        </is>
      </c>
      <c r="B112" s="8">
        <f>IF('Model inputs'!P153="","",'Model inputs'!P153)</f>
        <v>75</v>
      </c>
      <c r="C112" s="8">
        <v>0</v>
      </c>
      <c r="D112" s="8">
        <f>IF('Model inputs'!P153="","",'Model inputs'!P153)</f>
        <v>75</v>
      </c>
      <c r="E112" s="8">
        <f>IF('Model inputs'!P153="","",'Model inputs'!P153)</f>
        <v>75</v>
      </c>
      <c r="F112" s="8">
        <f>IF('Model inputs'!P153="","",'Model inputs'!P153)</f>
        <v>75</v>
      </c>
      <c r="G112" s="8">
        <f>IF('Model inputs'!P153="","",'Model inputs'!P153)</f>
        <v>75</v>
      </c>
      <c r="H112" s="8">
        <f>IF('Model inputs'!P153="","",'Model inputs'!P153)</f>
        <v>75</v>
      </c>
      <c r="I112" s="8">
        <f>IF('Model inputs'!P153="","",'Model inputs'!P153)</f>
        <v>75</v>
      </c>
      <c r="J112" s="8">
        <f>IF('Model inputs'!P153="","",'Model inputs'!P153)</f>
        <v>75</v>
      </c>
      <c r="K112" s="8">
        <f>IF('Model inputs'!P153="","",'Model inputs'!P153)</f>
        <v>75</v>
      </c>
      <c r="L112" s="8">
        <f>IF('Model inputs'!P153="","",'Model inputs'!P153)</f>
        <v>75</v>
      </c>
      <c r="M112" s="8">
        <f>IF('Model inputs'!P153="","",'Model inputs'!P153)</f>
        <v>75</v>
      </c>
      <c r="N112" s="8">
        <f>IF('Model inputs'!P153="","",'Model inputs'!P153)</f>
        <v>75</v>
      </c>
    </row>
    <row r="113">
      <c r="A113" t="inlineStr" s="26">
        <is>
          <t xml:space="preserve">Subscription revenue</t>
        </is>
      </c>
      <c r="B113" s="16">
        <f>SUM('Model inputs'!B114,'Model inputs'!B115)</f>
        <v>5144.175212335564</v>
      </c>
      <c r="C113" s="16">
        <f>SUM('Model inputs'!C114,'Model inputs'!C115)</f>
        <v>0</v>
      </c>
      <c r="D113" s="16">
        <f>SUM('Model inputs'!D114,'Model inputs'!D115)</f>
        <v>297</v>
      </c>
      <c r="E113" s="16">
        <f>SUM('Model inputs'!E114,'Model inputs'!E115)</f>
        <v>608.8500000000001</v>
      </c>
      <c r="F113" s="16">
        <f>SUM('Model inputs'!F114,'Model inputs'!F115)</f>
        <v>937.7775000000001</v>
      </c>
      <c r="G113" s="16">
        <f>SUM('Model inputs'!G114,'Model inputs'!G115)</f>
        <v>1286.1956250000003</v>
      </c>
      <c r="H113" s="16">
        <f>SUM('Model inputs'!H114,'Model inputs'!H115)</f>
        <v>1656.7235437500003</v>
      </c>
      <c r="I113" s="16">
        <f>SUM('Model inputs'!I114,'Model inputs'!I115)</f>
        <v>2052.208836562501</v>
      </c>
      <c r="J113" s="16">
        <f>SUM('Model inputs'!J114,'Model inputs'!J115)</f>
        <v>2475.7520117343756</v>
      </c>
      <c r="K113" s="16">
        <f>SUM('Model inputs'!K114,'Model inputs'!K115)</f>
        <v>2930.7333898476577</v>
      </c>
      <c r="L113" s="16">
        <f>SUM('Model inputs'!L114,'Model inputs'!L115)</f>
        <v>3420.842596925275</v>
      </c>
      <c r="M113" s="16">
        <f>SUM('Model inputs'!M114,'Model inputs'!M115)</f>
        <v>3950.1109313060124</v>
      </c>
      <c r="N113" s="16">
        <f>SUM('Model inputs'!N114,'Model inputs'!N115)</f>
        <v>4522.9468953904125</v>
      </c>
    </row>
    <row r="114" outlineLevel="1">
      <c r="A114" t="inlineStr" s="27">
        <is>
          <t xml:space="preserve">Subscription revenue &gt; Starter</t>
        </is>
      </c>
      <c r="B114" s="8">
        <f>'Model inputs'!B18*'Model inputs'!P156</f>
        <v>1697.404615518132</v>
      </c>
      <c r="C114" s="8">
        <f>0</f>
        <v>0</v>
      </c>
      <c r="D114" s="8">
        <f>'Model inputs'!D18*'Model inputs'!P156</f>
        <v>98</v>
      </c>
      <c r="E114" s="8">
        <f>'Model inputs'!E18*'Model inputs'!P156</f>
        <v>200.90000000000003</v>
      </c>
      <c r="F114" s="8">
        <f>'Model inputs'!F18*'Model inputs'!P156</f>
        <v>309.43500000000006</v>
      </c>
      <c r="G114" s="8">
        <f>'Model inputs'!G18*'Model inputs'!P156</f>
        <v>424.4012500000001</v>
      </c>
      <c r="H114" s="8">
        <f>'Model inputs'!H18*'Model inputs'!P156</f>
        <v>546.6629875000001</v>
      </c>
      <c r="I114" s="8">
        <f>'Model inputs'!I18*'Model inputs'!P156</f>
        <v>677.1598181250002</v>
      </c>
      <c r="J114" s="8">
        <f>'Model inputs'!J18*'Model inputs'!P156</f>
        <v>816.9148052187503</v>
      </c>
      <c r="K114" s="8">
        <f>'Model inputs'!K18*'Model inputs'!P156</f>
        <v>967.043340757813</v>
      </c>
      <c r="L114" s="8">
        <f>'Model inputs'!L18*'Model inputs'!P156</f>
        <v>1128.7628770999224</v>
      </c>
      <c r="M114" s="8">
        <f>'Model inputs'!M18*'Model inputs'!P156</f>
        <v>1303.4036069629267</v>
      </c>
      <c r="N114" s="8">
        <f>'Model inputs'!N18*'Model inputs'!P156</f>
        <v>1492.4201877045807</v>
      </c>
    </row>
    <row r="115" outlineLevel="1">
      <c r="A115" t="inlineStr" s="27">
        <is>
          <t xml:space="preserve">Subscription revenue &gt; Team</t>
        </is>
      </c>
      <c r="B115" s="8">
        <f>'Model inputs'!B19*'Model inputs'!P157</f>
        <v>3446.7705968174314</v>
      </c>
      <c r="C115" s="8">
        <f>0</f>
        <v>0</v>
      </c>
      <c r="D115" s="8">
        <f>'Model inputs'!D19*'Model inputs'!P157</f>
        <v>199</v>
      </c>
      <c r="E115" s="8">
        <f>'Model inputs'!E19*'Model inputs'!P157</f>
        <v>407.95000000000005</v>
      </c>
      <c r="F115" s="8">
        <f>'Model inputs'!F19*'Model inputs'!P157</f>
        <v>628.3425000000001</v>
      </c>
      <c r="G115" s="8">
        <f>'Model inputs'!G19*'Model inputs'!P157</f>
        <v>861.7943750000003</v>
      </c>
      <c r="H115" s="8">
        <f>'Model inputs'!H19*'Model inputs'!P157</f>
        <v>1110.0605562500002</v>
      </c>
      <c r="I115" s="8">
        <f>'Model inputs'!I19*'Model inputs'!P157</f>
        <v>1375.0490184375005</v>
      </c>
      <c r="J115" s="8">
        <f>'Model inputs'!J19*'Model inputs'!P157</f>
        <v>1658.8372065156254</v>
      </c>
      <c r="K115" s="8">
        <f>'Model inputs'!K19*'Model inputs'!P157</f>
        <v>1963.6900490898447</v>
      </c>
      <c r="L115" s="8">
        <f>'Model inputs'!L19*'Model inputs'!P157</f>
        <v>2292.0797198253526</v>
      </c>
      <c r="M115" s="8">
        <f>'Model inputs'!M19*'Model inputs'!P157</f>
        <v>2646.7073243430855</v>
      </c>
      <c r="N115" s="8">
        <f>'Model inputs'!N19*'Model inputs'!P157</f>
        <v>3030.526707685832</v>
      </c>
    </row>
    <row r="116">
      <c r="A116" t="inlineStr" s="26">
        <is>
          <t xml:space="preserve">Variable cost of revenue</t>
        </is>
      </c>
      <c r="B116" s="16">
        <f>SUM('Model inputs'!B117,'Model inputs'!B118)</f>
        <v>1704.8524112800994</v>
      </c>
      <c r="C116" s="16">
        <f>SUM('Model inputs'!C117,'Model inputs'!C118)</f>
        <v>0</v>
      </c>
      <c r="D116" s="16">
        <f>SUM('Model inputs'!D117,'Model inputs'!D118)</f>
        <v>98.42999999999999</v>
      </c>
      <c r="E116" s="16">
        <f>SUM('Model inputs'!E117,'Model inputs'!E118)</f>
        <v>201.78150000000005</v>
      </c>
      <c r="F116" s="16">
        <f>SUM('Model inputs'!F117,'Model inputs'!F118)</f>
        <v>310.7927250000001</v>
      </c>
      <c r="G116" s="16">
        <f>SUM('Model inputs'!G117,'Model inputs'!G118)</f>
        <v>426.26341875000014</v>
      </c>
      <c r="H116" s="16">
        <f>SUM('Model inputs'!H117,'Model inputs'!H118)</f>
        <v>549.0616108125001</v>
      </c>
      <c r="I116" s="16">
        <f>SUM('Model inputs'!I117,'Model inputs'!I118)</f>
        <v>680.1310295718752</v>
      </c>
      <c r="J116" s="16">
        <f>SUM('Model inputs'!J117,'Model inputs'!J118)</f>
        <v>820.4992273232815</v>
      </c>
      <c r="K116" s="16">
        <f>SUM('Model inputs'!K117,'Model inputs'!K118)</f>
        <v>971.2864901101176</v>
      </c>
      <c r="L116" s="16">
        <f>SUM('Model inputs'!L117,'Model inputs'!L118)</f>
        <v>1133.715612172912</v>
      </c>
      <c r="M116" s="16">
        <f>SUM('Model inputs'!M117,'Model inputs'!M118)</f>
        <v>1309.1226227893965</v>
      </c>
      <c r="N116" s="16">
        <f>SUM('Model inputs'!N117,'Model inputs'!N118)</f>
        <v>1498.9685619975703</v>
      </c>
    </row>
    <row r="117" outlineLevel="1">
      <c r="A117" t="inlineStr" s="27">
        <is>
          <t xml:space="preserve">Variable cost of revenue &gt; Starter</t>
        </is>
      </c>
      <c r="B117" s="8">
        <f>'Model inputs'!B140+'Model inputs'!B173+'Model inputs'!B176+'Model inputs'!B179+'Model inputs'!B170</f>
        <v>413.266062512884</v>
      </c>
      <c r="C117" s="8">
        <f>0</f>
        <v>0</v>
      </c>
      <c r="D117" s="8">
        <f>'Model inputs'!D140+'Model inputs'!D173+'Model inputs'!D176+'Model inputs'!D179+'Model inputs'!D170</f>
        <v>23.86</v>
      </c>
      <c r="E117" s="8">
        <f>'Model inputs'!E140+'Model inputs'!E173+'Model inputs'!E176+'Model inputs'!E179+'Model inputs'!E170</f>
        <v>48.91300000000001</v>
      </c>
      <c r="F117" s="8">
        <f>'Model inputs'!F140+'Model inputs'!F173+'Model inputs'!F176+'Model inputs'!F179+'Model inputs'!F170</f>
        <v>75.33795000000002</v>
      </c>
      <c r="G117" s="8">
        <f>'Model inputs'!G140+'Model inputs'!G173+'Model inputs'!G176+'Model inputs'!G179+'Model inputs'!G170</f>
        <v>103.32871250000004</v>
      </c>
      <c r="H117" s="8">
        <f>'Model inputs'!H140+'Model inputs'!H173+'Model inputs'!H176+'Model inputs'!H179+'Model inputs'!H170</f>
        <v>133.09570287500003</v>
      </c>
      <c r="I117" s="8">
        <f>'Model inputs'!I140+'Model inputs'!I173+'Model inputs'!I176+'Model inputs'!I179+'Model inputs'!I170</f>
        <v>164.86768633125007</v>
      </c>
      <c r="J117" s="8">
        <f>'Model inputs'!J140+'Model inputs'!J173+'Model inputs'!J176+'Model inputs'!J179+'Model inputs'!J170</f>
        <v>198.8937474746876</v>
      </c>
      <c r="K117" s="8">
        <f>'Model inputs'!K140+'Model inputs'!K173+'Model inputs'!K176+'Model inputs'!K179+'Model inputs'!K170</f>
        <v>235.44545010695322</v>
      </c>
      <c r="L117" s="8">
        <f>'Model inputs'!L140+'Model inputs'!L173+'Model inputs'!L176+'Model inputs'!L179+'Model inputs'!L170</f>
        <v>274.81920660820566</v>
      </c>
      <c r="M117" s="8">
        <f>'Model inputs'!M140+'Model inputs'!M173+'Model inputs'!M176+'Model inputs'!M179+'Model inputs'!M170</f>
        <v>317.3388781850554</v>
      </c>
      <c r="N117" s="8">
        <f>'Model inputs'!N140+'Model inputs'!N173+'Model inputs'!N176+'Model inputs'!N179+'Model inputs'!N170</f>
        <v>363.35862937378874</v>
      </c>
    </row>
    <row r="118" outlineLevel="1">
      <c r="A118" t="inlineStr" s="27">
        <is>
          <t xml:space="preserve">Variable cost of revenue &gt; Team</t>
        </is>
      </c>
      <c r="B118" s="8">
        <f>'Model inputs'!B141+'Model inputs'!B174+'Model inputs'!B177+'Model inputs'!B180+'Model inputs'!B171</f>
        <v>1291.5863487672154</v>
      </c>
      <c r="C118" s="8">
        <f>0</f>
        <v>0</v>
      </c>
      <c r="D118" s="8">
        <f>'Model inputs'!D141+'Model inputs'!D174+'Model inputs'!D177+'Model inputs'!D180+'Model inputs'!D171</f>
        <v>74.57</v>
      </c>
      <c r="E118" s="8">
        <f>'Model inputs'!E141+'Model inputs'!E174+'Model inputs'!E177+'Model inputs'!E180+'Model inputs'!E171</f>
        <v>152.86850000000004</v>
      </c>
      <c r="F118" s="8">
        <f>'Model inputs'!F141+'Model inputs'!F174+'Model inputs'!F177+'Model inputs'!F180+'Model inputs'!F171</f>
        <v>235.45477500000004</v>
      </c>
      <c r="G118" s="8">
        <f>'Model inputs'!G141+'Model inputs'!G174+'Model inputs'!G177+'Model inputs'!G180+'Model inputs'!G171</f>
        <v>322.9347062500001</v>
      </c>
      <c r="H118" s="8">
        <f>'Model inputs'!H141+'Model inputs'!H174+'Model inputs'!H177+'Model inputs'!H180+'Model inputs'!H171</f>
        <v>415.9659079375001</v>
      </c>
      <c r="I118" s="8">
        <f>'Model inputs'!I141+'Model inputs'!I174+'Model inputs'!I177+'Model inputs'!I180+'Model inputs'!I171</f>
        <v>515.2633432406251</v>
      </c>
      <c r="J118" s="8">
        <f>'Model inputs'!J141+'Model inputs'!J174+'Model inputs'!J177+'Model inputs'!J180+'Model inputs'!J171</f>
        <v>621.605479848594</v>
      </c>
      <c r="K118" s="8">
        <f>'Model inputs'!K141+'Model inputs'!K174+'Model inputs'!K177+'Model inputs'!K180+'Model inputs'!K171</f>
        <v>735.8410400031644</v>
      </c>
      <c r="L118" s="8">
        <f>'Model inputs'!L141+'Model inputs'!L174+'Model inputs'!L177+'Model inputs'!L180+'Model inputs'!L171</f>
        <v>858.8964055647064</v>
      </c>
      <c r="M118" s="8">
        <f>'Model inputs'!M141+'Model inputs'!M174+'Model inputs'!M177+'Model inputs'!M180+'Model inputs'!M171</f>
        <v>991.7837446043411</v>
      </c>
      <c r="N118" s="8">
        <f>'Model inputs'!N141+'Model inputs'!N174+'Model inputs'!N177+'Model inputs'!N180+'Model inputs'!N171</f>
        <v>1135.6099326237816</v>
      </c>
    </row>
    <row r="119">
      <c r="A119" t="inlineStr" s="26">
        <is>
          <t xml:space="preserve">Verification overage revenue</t>
        </is>
      </c>
      <c r="B119" s="16">
        <f>SUM('Model inputs'!B120,'Model inputs'!B121)</f>
        <v>415.69092624933853</v>
      </c>
      <c r="C119" s="16">
        <f>SUM('Model inputs'!C120,'Model inputs'!C121)</f>
        <v>0</v>
      </c>
      <c r="D119" s="16">
        <f>SUM('Model inputs'!D120,'Model inputs'!D121)</f>
        <v>24</v>
      </c>
      <c r="E119" s="16">
        <f>SUM('Model inputs'!E120,'Model inputs'!E121)</f>
        <v>49.20000000000001</v>
      </c>
      <c r="F119" s="16">
        <f>SUM('Model inputs'!F120,'Model inputs'!F121)</f>
        <v>75.78000000000002</v>
      </c>
      <c r="G119" s="16">
        <f>SUM('Model inputs'!G120,'Model inputs'!G121)</f>
        <v>103.93500000000003</v>
      </c>
      <c r="H119" s="16">
        <f>SUM('Model inputs'!H120,'Model inputs'!H121)</f>
        <v>133.87665000000004</v>
      </c>
      <c r="I119" s="16">
        <f>SUM('Model inputs'!I120,'Model inputs'!I121)</f>
        <v>165.83505750000006</v>
      </c>
      <c r="J119" s="16">
        <f>SUM('Model inputs'!J120,'Model inputs'!J121)</f>
        <v>200.0607686250001</v>
      </c>
      <c r="K119" s="16">
        <f>SUM('Model inputs'!K120,'Model inputs'!K121)</f>
        <v>236.82694059375012</v>
      </c>
      <c r="L119" s="16">
        <f>SUM('Model inputs'!L120,'Model inputs'!L121)</f>
        <v>276.4317250040627</v>
      </c>
      <c r="M119" s="16">
        <f>SUM('Model inputs'!M120,'Model inputs'!M121)</f>
        <v>319.2008833378596</v>
      </c>
      <c r="N119" s="16">
        <f>SUM('Model inputs'!N120,'Model inputs'!N121)</f>
        <v>365.4906582133667</v>
      </c>
    </row>
    <row r="120" outlineLevel="1">
      <c r="A120" t="inlineStr" s="27">
        <is>
          <t xml:space="preserve">Verification overage revenue &gt; Starter</t>
        </is>
      </c>
      <c r="B120" s="8">
        <f>'Model inputs'!B18*MAX('Model inputs'!P182-'Model inputs'!P134,0)*'Model inputs'!P164</f>
        <v>69.28182104155643</v>
      </c>
      <c r="C120" s="8">
        <f>0</f>
        <v>0</v>
      </c>
      <c r="D120" s="8">
        <f>'Model inputs'!D18*MAX('Model inputs'!P182-'Model inputs'!P134,0)*'Model inputs'!P164</f>
        <v>4</v>
      </c>
      <c r="E120" s="8">
        <f>'Model inputs'!E18*MAX('Model inputs'!P182-'Model inputs'!P134,0)*'Model inputs'!P164</f>
        <v>8.200000000000001</v>
      </c>
      <c r="F120" s="8">
        <f>'Model inputs'!F18*MAX('Model inputs'!P182-'Model inputs'!P134,0)*'Model inputs'!P164</f>
        <v>12.630000000000003</v>
      </c>
      <c r="G120" s="8">
        <f>'Model inputs'!G18*MAX('Model inputs'!P182-'Model inputs'!P134,0)*'Model inputs'!P164</f>
        <v>17.322500000000005</v>
      </c>
      <c r="H120" s="8">
        <f>'Model inputs'!H18*MAX('Model inputs'!P182-'Model inputs'!P134,0)*'Model inputs'!P164</f>
        <v>22.312775000000006</v>
      </c>
      <c r="I120" s="8">
        <f>'Model inputs'!I18*MAX('Model inputs'!P182-'Model inputs'!P134,0)*'Model inputs'!P164</f>
        <v>27.63917625000001</v>
      </c>
      <c r="J120" s="8">
        <f>'Model inputs'!J18*MAX('Model inputs'!P182-'Model inputs'!P134,0)*'Model inputs'!P164</f>
        <v>33.34346143750002</v>
      </c>
      <c r="K120" s="8">
        <f>'Model inputs'!K18*MAX('Model inputs'!P182-'Model inputs'!P134,0)*'Model inputs'!P164</f>
        <v>39.47115676562502</v>
      </c>
      <c r="L120" s="8">
        <f>'Model inputs'!L18*MAX('Model inputs'!P182-'Model inputs'!P134,0)*'Model inputs'!P164</f>
        <v>46.07195416734378</v>
      </c>
      <c r="M120" s="8">
        <f>'Model inputs'!M18*MAX('Model inputs'!P182-'Model inputs'!P134,0)*'Model inputs'!P164</f>
        <v>53.200147222976604</v>
      </c>
      <c r="N120" s="8">
        <f>'Model inputs'!N18*MAX('Model inputs'!P182-'Model inputs'!P134,0)*'Model inputs'!P164</f>
        <v>60.91510970222778</v>
      </c>
    </row>
    <row r="121" outlineLevel="1">
      <c r="A121" t="inlineStr" s="27">
        <is>
          <t xml:space="preserve">Verification overage revenue &gt; Team</t>
        </is>
      </c>
      <c r="B121" s="8">
        <f>'Model inputs'!B19*MAX('Model inputs'!P183-'Model inputs'!P135,0)*'Model inputs'!P165</f>
        <v>346.4091052077821</v>
      </c>
      <c r="C121" s="8">
        <f>0</f>
        <v>0</v>
      </c>
      <c r="D121" s="8">
        <f>'Model inputs'!D19*MAX('Model inputs'!P183-'Model inputs'!P135,0)*'Model inputs'!P165</f>
        <v>20</v>
      </c>
      <c r="E121" s="8">
        <f>'Model inputs'!E19*MAX('Model inputs'!P183-'Model inputs'!P135,0)*'Model inputs'!P165</f>
        <v>41.00000000000001</v>
      </c>
      <c r="F121" s="8">
        <f>'Model inputs'!F19*MAX('Model inputs'!P183-'Model inputs'!P135,0)*'Model inputs'!P165</f>
        <v>63.15000000000001</v>
      </c>
      <c r="G121" s="8">
        <f>'Model inputs'!G19*MAX('Model inputs'!P183-'Model inputs'!P135,0)*'Model inputs'!P165</f>
        <v>86.61250000000003</v>
      </c>
      <c r="H121" s="8">
        <f>'Model inputs'!H19*MAX('Model inputs'!P183-'Model inputs'!P135,0)*'Model inputs'!P165</f>
        <v>111.56387500000004</v>
      </c>
      <c r="I121" s="8">
        <f>'Model inputs'!I19*MAX('Model inputs'!P183-'Model inputs'!P135,0)*'Model inputs'!P165</f>
        <v>138.19588125000004</v>
      </c>
      <c r="J121" s="8">
        <f>'Model inputs'!J19*MAX('Model inputs'!P183-'Model inputs'!P135,0)*'Model inputs'!P165</f>
        <v>166.71730718750007</v>
      </c>
      <c r="K121" s="8">
        <f>'Model inputs'!K19*MAX('Model inputs'!P183-'Model inputs'!P135,0)*'Model inputs'!P165</f>
        <v>197.3557838281251</v>
      </c>
      <c r="L121" s="8">
        <f>'Model inputs'!L19*MAX('Model inputs'!P183-'Model inputs'!P135,0)*'Model inputs'!P165</f>
        <v>230.3597708367189</v>
      </c>
      <c r="M121" s="8">
        <f>'Model inputs'!M19*MAX('Model inputs'!P183-'Model inputs'!P135,0)*'Model inputs'!P165</f>
        <v>266.00073611488295</v>
      </c>
      <c r="N121" s="8">
        <f>'Model inputs'!N19*MAX('Model inputs'!P183-'Model inputs'!P135,0)*'Model inputs'!P165</f>
        <v>304.57554851113895</v>
      </c>
    </row>
    <row r="122">
      <c r="A122" t="inlineStr" s="26">
        <is>
          <t xml:space="preserve">Contribution margin</t>
        </is>
      </c>
      <c r="B122" s="16">
        <f>'Model inputs'!B58-'Model inputs'!B116</f>
        <v>3855.013727304802</v>
      </c>
      <c r="D122" s="16">
        <f>'Model inputs'!D58-'Model inputs'!D116</f>
        <v>222.57</v>
      </c>
      <c r="E122" s="16">
        <f>'Model inputs'!E58-'Model inputs'!E116</f>
        <v>456.2685</v>
      </c>
      <c r="F122" s="16">
        <f>'Model inputs'!F58-'Model inputs'!F116</f>
        <v>702.7647750000001</v>
      </c>
      <c r="G122" s="16">
        <f>'Model inputs'!G58-'Model inputs'!G116</f>
        <v>963.8672062500003</v>
      </c>
      <c r="H122" s="16">
        <f>'Model inputs'!H58-'Model inputs'!H116</f>
        <v>1241.5385829375005</v>
      </c>
      <c r="I122" s="16">
        <f>'Model inputs'!I58-'Model inputs'!I116</f>
        <v>1537.9128644906257</v>
      </c>
      <c r="J122" s="16">
        <f>'Model inputs'!J58-'Model inputs'!J116</f>
        <v>1855.3135530360942</v>
      </c>
      <c r="K122" s="16">
        <f>'Model inputs'!K58-'Model inputs'!K116</f>
        <v>2196.27384033129</v>
      </c>
      <c r="L122" s="16">
        <f>'Model inputs'!L58-'Model inputs'!L116</f>
        <v>2563.5587097564257</v>
      </c>
      <c r="M122" s="16">
        <f>'Model inputs'!M58-'Model inputs'!M116</f>
        <v>2960.189191854475</v>
      </c>
      <c r="N122" s="16">
        <f>'Model inputs'!N58-'Model inputs'!N116</f>
        <v>3389.4689916062093</v>
      </c>
    </row>
    <row r="123" outlineLevel="1">
      <c r="A123" t="inlineStr" s="27">
        <is>
          <t xml:space="preserve">Contribution margin &gt; Starter</t>
        </is>
      </c>
      <c r="B123" s="8">
        <f>'Model inputs'!B60-'Model inputs'!B117</f>
        <v>1353.4203740468045</v>
      </c>
      <c r="D123" s="8">
        <f>'Model inputs'!D60-'Model inputs'!D117</f>
        <v>78.14</v>
      </c>
      <c r="E123" s="8">
        <f>'Model inputs'!E60-'Model inputs'!E117</f>
        <v>160.187</v>
      </c>
      <c r="F123" s="8">
        <f>'Model inputs'!F60-'Model inputs'!F117</f>
        <v>246.72705000000002</v>
      </c>
      <c r="G123" s="8">
        <f>'Model inputs'!G60-'Model inputs'!G117</f>
        <v>338.39503750000006</v>
      </c>
      <c r="H123" s="8">
        <f>'Model inputs'!H60-'Model inputs'!H117</f>
        <v>435.88005962500006</v>
      </c>
      <c r="I123" s="8">
        <f>'Model inputs'!I60-'Model inputs'!I117</f>
        <v>539.9313080437502</v>
      </c>
      <c r="J123" s="8">
        <f>'Model inputs'!J60-'Model inputs'!J117</f>
        <v>651.3645191815626</v>
      </c>
      <c r="K123" s="8">
        <f>'Model inputs'!K60-'Model inputs'!K117</f>
        <v>771.0690474164848</v>
      </c>
      <c r="L123" s="8">
        <f>'Model inputs'!L60-'Model inputs'!L117</f>
        <v>900.0156246590607</v>
      </c>
      <c r="M123" s="8">
        <f>'Model inputs'!M60-'Model inputs'!M117</f>
        <v>1039.2648760008478</v>
      </c>
      <c r="N123" s="8">
        <f>'Model inputs'!N60-'Model inputs'!N117</f>
        <v>1189.9766680330197</v>
      </c>
    </row>
    <row r="124" outlineLevel="1">
      <c r="A124" t="inlineStr" s="27">
        <is>
          <t xml:space="preserve">Contribution margin &gt; Team</t>
        </is>
      </c>
      <c r="B124" s="8">
        <f>'Model inputs'!B61-'Model inputs'!B118</f>
        <v>2501.593353257998</v>
      </c>
      <c r="D124" s="8">
        <f>'Model inputs'!D61-'Model inputs'!D118</f>
        <v>144.43</v>
      </c>
      <c r="E124" s="8">
        <f>'Model inputs'!E61-'Model inputs'!E118</f>
        <v>296.0815</v>
      </c>
      <c r="F124" s="8">
        <f>'Model inputs'!F61-'Model inputs'!F118</f>
        <v>456.037725</v>
      </c>
      <c r="G124" s="8">
        <f>'Model inputs'!G61-'Model inputs'!G118</f>
        <v>625.4721687500003</v>
      </c>
      <c r="H124" s="8">
        <f>'Model inputs'!H61-'Model inputs'!H118</f>
        <v>805.6585233125002</v>
      </c>
      <c r="I124" s="8">
        <f>'Model inputs'!I61-'Model inputs'!I118</f>
        <v>997.9815564468754</v>
      </c>
      <c r="J124" s="8">
        <f>'Model inputs'!J61-'Model inputs'!J118</f>
        <v>1203.9490338545315</v>
      </c>
      <c r="K124" s="8">
        <f>'Model inputs'!K61-'Model inputs'!K118</f>
        <v>1425.2047929148052</v>
      </c>
      <c r="L124" s="8">
        <f>'Model inputs'!L61-'Model inputs'!L118</f>
        <v>1663.543085097365</v>
      </c>
      <c r="M124" s="8">
        <f>'Model inputs'!M61-'Model inputs'!M118</f>
        <v>1920.9243158536271</v>
      </c>
      <c r="N124" s="8">
        <f>'Model inputs'!N61-'Model inputs'!N118</f>
        <v>2199.4923235731894</v>
      </c>
    </row>
    <row r="125">
      <c r="A125" t="inlineStr" s="26">
        <is>
          <t xml:space="preserve">First-month new customers</t>
        </is>
      </c>
      <c r="P125" s="6">
        <v>0</v>
      </c>
    </row>
    <row r="126" outlineLevel="1">
      <c r="A126" t="inlineStr" s="27">
        <is>
          <t xml:space="preserve">First-month new customers &gt; Starter</t>
        </is>
      </c>
      <c r="P126" s="9">
        <f>'NeatRescue — Assumptions &amp; (2)'!G5</f>
        <v>2</v>
      </c>
    </row>
    <row r="127" outlineLevel="1">
      <c r="A127" t="inlineStr" s="27">
        <is>
          <t xml:space="preserve">First-month new customers &gt; Team</t>
        </is>
      </c>
      <c r="P127" s="9">
        <f>'NeatRescue — Assumptions &amp; (2)'!G6</f>
        <v>1</v>
      </c>
    </row>
    <row r="128">
      <c r="A128" t="inlineStr" s="26">
        <is>
          <t xml:space="preserve">First-month new customers</t>
        </is>
      </c>
      <c r="O128" s="6">
        <v>0</v>
      </c>
    </row>
    <row r="129" outlineLevel="1">
      <c r="A129" t="inlineStr" s="27">
        <is>
          <t xml:space="preserve">First-month new customers &gt; Starter</t>
        </is>
      </c>
      <c r="O129" s="9">
        <f>'NeatRescue — Assumptions &amp; (2)'!G5</f>
        <v>2</v>
      </c>
    </row>
    <row r="130" outlineLevel="1">
      <c r="A130" t="inlineStr" s="27">
        <is>
          <t xml:space="preserve">First-month new customers &gt; Team</t>
        </is>
      </c>
      <c r="O130" s="9">
        <f>'NeatRescue — Assumptions &amp; (2)'!G6</f>
        <v>1</v>
      </c>
    </row>
    <row r="131">
      <c r="A131" t="inlineStr" s="26">
        <is>
          <t xml:space="preserve">Founder monthly pay · NeatRescue — Hackathon submission · 12-month scenario comparison — hypothetical</t>
        </is>
      </c>
      <c r="P131" s="8">
        <f>'NeatRescue — Assumptions &amp; simu'!B19</f>
        <v>0</v>
      </c>
    </row>
    <row r="132">
      <c r="A132" t="inlineStr" s="26">
        <is>
          <t xml:space="preserve">Founder monthly pay · NeatRescue — Cash &amp; scenarios · Profit, burn &amp; cash runway</t>
        </is>
      </c>
      <c r="O132" s="8">
        <f>'NeatRescue — Assumptions &amp; simu'!B19</f>
        <v>0</v>
      </c>
    </row>
    <row r="133">
      <c r="A133" t="inlineStr" s="26">
        <is>
          <t xml:space="preserve">Included verifications</t>
        </is>
      </c>
      <c r="P133" s="6">
        <v>0</v>
      </c>
    </row>
    <row r="134" outlineLevel="1">
      <c r="A134" t="inlineStr" s="27">
        <is>
          <t xml:space="preserve">Included verifications &gt; Starter</t>
        </is>
      </c>
      <c r="P134" s="9">
        <f>'NeatRescue — Assumptions &amp; (2)'!C5</f>
        <v>100</v>
      </c>
    </row>
    <row r="135" outlineLevel="1">
      <c r="A135" t="inlineStr" s="27">
        <is>
          <t xml:space="preserve">Included verifications &gt; Team</t>
        </is>
      </c>
      <c r="P135" s="9">
        <f>'NeatRescue — Assumptions &amp; (2)'!C6</f>
        <v>600</v>
      </c>
    </row>
    <row r="136">
      <c r="A136" t="inlineStr" s="26">
        <is>
          <t xml:space="preserve">Included verifications</t>
        </is>
      </c>
      <c r="O136" s="6">
        <v>0</v>
      </c>
    </row>
    <row r="137" outlineLevel="1">
      <c r="A137" t="inlineStr" s="27">
        <is>
          <t xml:space="preserve">Included verifications &gt; Starter</t>
        </is>
      </c>
      <c r="O137" s="9">
        <f>'NeatRescue — Assumptions &amp; (2)'!C5</f>
        <v>100</v>
      </c>
    </row>
    <row r="138" outlineLevel="1">
      <c r="A138" t="inlineStr" s="27">
        <is>
          <t xml:space="preserve">Included verifications &gt; Team</t>
        </is>
      </c>
      <c r="O138" s="9">
        <f>'NeatRescue — Assumptions &amp; (2)'!C6</f>
        <v>600</v>
      </c>
    </row>
    <row r="139">
      <c r="A139" t="inlineStr" s="26">
        <is>
          <t xml:space="preserve">Inference expense</t>
        </is>
      </c>
      <c r="B139" s="16">
        <f>SUM('Model inputs'!B140,'Model inputs'!B141)</f>
        <v>900.6636735402334</v>
      </c>
      <c r="D139" s="16">
        <f>SUM('Model inputs'!D140,'Model inputs'!D141)</f>
        <v>52</v>
      </c>
      <c r="E139" s="16">
        <f>SUM('Model inputs'!E140,'Model inputs'!E141)</f>
        <v>106.60000000000002</v>
      </c>
      <c r="F139" s="16">
        <f>SUM('Model inputs'!F140,'Model inputs'!F141)</f>
        <v>164.19000000000003</v>
      </c>
      <c r="G139" s="16">
        <f>SUM('Model inputs'!G140,'Model inputs'!G141)</f>
        <v>225.19250000000008</v>
      </c>
      <c r="H139" s="16">
        <f>SUM('Model inputs'!H140,'Model inputs'!H141)</f>
        <v>290.06607500000007</v>
      </c>
      <c r="I139" s="16">
        <f>SUM('Model inputs'!I140,'Model inputs'!I141)</f>
        <v>359.3092912500001</v>
      </c>
      <c r="J139" s="16">
        <f>SUM('Model inputs'!J140,'Model inputs'!J141)</f>
        <v>433.46499868750016</v>
      </c>
      <c r="K139" s="16">
        <f>SUM('Model inputs'!K140,'Model inputs'!K141)</f>
        <v>513.1250379531252</v>
      </c>
      <c r="L139" s="16">
        <f>SUM('Model inputs'!L140,'Model inputs'!L141)</f>
        <v>598.9354041754691</v>
      </c>
      <c r="M139" s="16">
        <f>SUM('Model inputs'!M140,'Model inputs'!M141)</f>
        <v>691.6019138986957</v>
      </c>
      <c r="N139" s="16">
        <f>SUM('Model inputs'!N140,'Model inputs'!N141)</f>
        <v>791.8964261289613</v>
      </c>
    </row>
    <row r="140" outlineLevel="1">
      <c r="A140" t="inlineStr" s="27">
        <is>
          <t xml:space="preserve">Inference expense &gt; Starter</t>
        </is>
      </c>
      <c r="B140" s="8">
        <f>'Model inputs'!B188*'Model inputs'!P192</f>
        <v>207.84546312466924</v>
      </c>
      <c r="D140" s="8">
        <f>'Model inputs'!D188*'Model inputs'!P192</f>
        <v>12</v>
      </c>
      <c r="E140" s="8">
        <f>'Model inputs'!E188*'Model inputs'!P192</f>
        <v>24.600000000000005</v>
      </c>
      <c r="F140" s="8">
        <f>'Model inputs'!F188*'Model inputs'!P192</f>
        <v>37.89000000000001</v>
      </c>
      <c r="G140" s="8">
        <f>'Model inputs'!G188*'Model inputs'!P192</f>
        <v>51.96750000000002</v>
      </c>
      <c r="H140" s="8">
        <f>'Model inputs'!H188*'Model inputs'!P192</f>
        <v>66.93832500000002</v>
      </c>
      <c r="I140" s="8">
        <f>'Model inputs'!I188*'Model inputs'!P192</f>
        <v>82.91752875000003</v>
      </c>
      <c r="J140" s="8">
        <f>'Model inputs'!J188*'Model inputs'!P192</f>
        <v>100.03038431250003</v>
      </c>
      <c r="K140" s="8">
        <f>'Model inputs'!K188*'Model inputs'!P192</f>
        <v>118.41347029687506</v>
      </c>
      <c r="L140" s="8">
        <f>'Model inputs'!L188*'Model inputs'!P192</f>
        <v>138.21586250203134</v>
      </c>
      <c r="M140" s="8">
        <f>'Model inputs'!M188*'Model inputs'!P192</f>
        <v>159.6004416689298</v>
      </c>
      <c r="N140" s="8">
        <f>'Model inputs'!N188*'Model inputs'!P192</f>
        <v>182.74532910668336</v>
      </c>
    </row>
    <row r="141" outlineLevel="1">
      <c r="A141" t="inlineStr" s="27">
        <is>
          <t xml:space="preserve">Inference expense &gt; Team</t>
        </is>
      </c>
      <c r="B141" s="8">
        <f>'Model inputs'!B189*'Model inputs'!P192</f>
        <v>692.8182104155642</v>
      </c>
      <c r="D141" s="8">
        <f>'Model inputs'!D189*'Model inputs'!P192</f>
        <v>40</v>
      </c>
      <c r="E141" s="8">
        <f>'Model inputs'!E189*'Model inputs'!P192</f>
        <v>82.00000000000001</v>
      </c>
      <c r="F141" s="8">
        <f>'Model inputs'!F189*'Model inputs'!P192</f>
        <v>126.30000000000003</v>
      </c>
      <c r="G141" s="8">
        <f>'Model inputs'!G189*'Model inputs'!P192</f>
        <v>173.22500000000005</v>
      </c>
      <c r="H141" s="8">
        <f>'Model inputs'!H189*'Model inputs'!P192</f>
        <v>223.12775000000008</v>
      </c>
      <c r="I141" s="8">
        <f>'Model inputs'!I189*'Model inputs'!P192</f>
        <v>276.3917625000001</v>
      </c>
      <c r="J141" s="8">
        <f>'Model inputs'!J189*'Model inputs'!P192</f>
        <v>333.43461437500014</v>
      </c>
      <c r="K141" s="8">
        <f>'Model inputs'!K189*'Model inputs'!P192</f>
        <v>394.7115676562502</v>
      </c>
      <c r="L141" s="8">
        <f>'Model inputs'!L189*'Model inputs'!P192</f>
        <v>460.7195416734378</v>
      </c>
      <c r="M141" s="8">
        <f>'Model inputs'!M189*'Model inputs'!P192</f>
        <v>532.0014722297659</v>
      </c>
      <c r="N141" s="8">
        <f>'Model inputs'!N189*'Model inputs'!P192</f>
        <v>609.1510970222779</v>
      </c>
    </row>
    <row r="142">
      <c r="A142" t="inlineStr" s="26">
        <is>
          <t xml:space="preserve">Launch expense · NeatRescue — Hackathon submission · 12-month scenario comparison — hypothetical</t>
        </is>
      </c>
      <c r="P142" s="8">
        <f>'NeatRescue — Assumptions &amp; simu'!B16</f>
        <v>200</v>
      </c>
    </row>
    <row r="143">
      <c r="A143" t="inlineStr" s="26">
        <is>
          <t xml:space="preserve">Launch expense · NeatRescue — Cash &amp; scenarios · Profit, burn &amp; cash runway</t>
        </is>
      </c>
      <c r="O143" s="8">
        <f>'NeatRescue — Assumptions &amp; simu'!B16</f>
        <v>200</v>
      </c>
    </row>
    <row r="144">
      <c r="A144" t="inlineStr" s="26">
        <is>
          <t xml:space="preserve">Monthly acquisition budget · NeatRescue — Hackathon submission · 12-month scenario comparison — hypothetical</t>
        </is>
      </c>
      <c r="P144" s="8">
        <f>'NeatRescue — Assumptions &amp; simu'!B15</f>
        <v>150</v>
      </c>
    </row>
    <row r="145">
      <c r="A145" t="inlineStr" s="26">
        <is>
          <t xml:space="preserve">Monthly acquisition budget · NeatRescue — Cash &amp; scenarios · Profit, burn &amp; cash runway</t>
        </is>
      </c>
      <c r="O145" s="8">
        <f>'NeatRescue — Assumptions &amp; simu'!B15</f>
        <v>150</v>
      </c>
    </row>
    <row r="146">
      <c r="A146" t="inlineStr" s="26">
        <is>
          <t xml:space="preserve">Monthly acquisition growth · NeatRescue — Revenue &amp; costs · Customers, usage &amp; unit economics</t>
        </is>
      </c>
      <c r="O146" s="9">
        <f>'NeatRescue — Assumptions &amp; simu'!B5</f>
        <v>0.1</v>
      </c>
    </row>
    <row r="147">
      <c r="A147" t="inlineStr" s="26">
        <is>
          <t xml:space="preserve">Monthly compute baseline · NeatRescue — Hackathon submission · 12-month scenario comparison — hypothetical</t>
        </is>
      </c>
      <c r="P147" s="8">
        <f>'NeatRescue — Assumptions &amp; simu'!B11</f>
        <v>40</v>
      </c>
    </row>
    <row r="148">
      <c r="A148" t="inlineStr" s="26">
        <is>
          <t xml:space="preserve">Monthly compute baseline · NeatRescue — Cash &amp; scenarios · Profit, burn &amp; cash runway</t>
        </is>
      </c>
      <c r="O148" s="8">
        <f>'NeatRescue — Assumptions &amp; simu'!B11</f>
        <v>40</v>
      </c>
    </row>
    <row r="149">
      <c r="A149" t="inlineStr" s="26">
        <is>
          <t xml:space="preserve">Monthly hosting budget · NeatRescue — Hackathon submission · 12-month scenario comparison — hypothetical</t>
        </is>
      </c>
      <c r="P149" s="8">
        <f>'NeatRescue — Assumptions &amp; simu'!B10</f>
        <v>60</v>
      </c>
    </row>
    <row r="150">
      <c r="A150" t="inlineStr" s="26">
        <is>
          <t xml:space="preserve">Monthly hosting budget · NeatRescue — Cash &amp; scenarios · Profit, burn &amp; cash runway</t>
        </is>
      </c>
      <c r="O150" s="8">
        <f>'NeatRescue — Assumptions &amp; simu'!B10</f>
        <v>60</v>
      </c>
    </row>
    <row r="151">
      <c r="A151" t="inlineStr" s="26">
        <is>
          <t xml:space="preserve">Monthly logging baseline · NeatRescue — Hackathon submission · 12-month scenario comparison — hypothetical</t>
        </is>
      </c>
      <c r="P151" s="8">
        <f>'NeatRescue — Assumptions &amp; simu'!B12</f>
        <v>25</v>
      </c>
    </row>
    <row r="152">
      <c r="A152" t="inlineStr" s="26">
        <is>
          <t xml:space="preserve">Monthly logging baseline · NeatRescue — Cash &amp; scenarios · Profit, burn &amp; cash runway</t>
        </is>
      </c>
      <c r="O152" s="8">
        <f>'NeatRescue — Assumptions &amp; simu'!B12</f>
        <v>25</v>
      </c>
    </row>
    <row r="153">
      <c r="A153" t="inlineStr" s="26">
        <is>
          <t xml:space="preserve">Monthly security budget · NeatRescue — Hackathon submission · 12-month scenario comparison — hypothetical</t>
        </is>
      </c>
      <c r="P153" s="8">
        <f>'NeatRescue — Assumptions &amp; simu'!B13</f>
        <v>75</v>
      </c>
    </row>
    <row r="154">
      <c r="A154" t="inlineStr" s="26">
        <is>
          <t xml:space="preserve">Monthly security budget · NeatRescue — Cash &amp; scenarios · Profit, burn &amp; cash runway</t>
        </is>
      </c>
      <c r="O154" s="8">
        <f>'NeatRescue — Assumptions &amp; simu'!B13</f>
        <v>75</v>
      </c>
    </row>
    <row r="155">
      <c r="A155" t="inlineStr" s="26">
        <is>
          <t xml:space="preserve">Monthly subscription price</t>
        </is>
      </c>
      <c r="P155" s="16">
        <v>0</v>
      </c>
    </row>
    <row r="156" outlineLevel="1">
      <c r="A156" t="inlineStr" s="27">
        <is>
          <t xml:space="preserve">Monthly subscription price &gt; Starter</t>
        </is>
      </c>
      <c r="P156" s="8">
        <f>'NeatRescue — Assumptions &amp; (2)'!B5</f>
        <v>49</v>
      </c>
    </row>
    <row r="157" outlineLevel="1">
      <c r="A157" t="inlineStr" s="27">
        <is>
          <t xml:space="preserve">Monthly subscription price &gt; Team</t>
        </is>
      </c>
      <c r="P157" s="8">
        <f>'NeatRescue — Assumptions &amp; (2)'!B6</f>
        <v>199</v>
      </c>
    </row>
    <row r="158">
      <c r="A158" t="inlineStr" s="26">
        <is>
          <t xml:space="preserve">Monthly subscription price</t>
        </is>
      </c>
      <c r="O158" s="16">
        <v>0</v>
      </c>
    </row>
    <row r="159" outlineLevel="1">
      <c r="A159" t="inlineStr" s="27">
        <is>
          <t xml:space="preserve">Monthly subscription price &gt; Starter</t>
        </is>
      </c>
      <c r="O159" s="8">
        <f>'NeatRescue — Assumptions &amp; (2)'!B5</f>
        <v>49</v>
      </c>
    </row>
    <row r="160" outlineLevel="1">
      <c r="A160" t="inlineStr" s="27">
        <is>
          <t xml:space="preserve">Monthly subscription price &gt; Team</t>
        </is>
      </c>
      <c r="O160" s="8">
        <f>'NeatRescue — Assumptions &amp; (2)'!B6</f>
        <v>199</v>
      </c>
    </row>
    <row r="161">
      <c r="A161" t="inlineStr" s="26">
        <is>
          <t xml:space="preserve">Monthly support baseline · NeatRescue — Hackathon submission · 12-month scenario comparison — hypothetical</t>
        </is>
      </c>
      <c r="P161" s="8">
        <f>'NeatRescue — Assumptions &amp; simu'!B14</f>
        <v>100</v>
      </c>
    </row>
    <row r="162">
      <c r="A162" t="inlineStr" s="26">
        <is>
          <t xml:space="preserve">Monthly support baseline · NeatRescue — Cash &amp; scenarios · Profit, burn &amp; cash runway</t>
        </is>
      </c>
      <c r="O162" s="8">
        <f>'NeatRescue — Assumptions &amp; simu'!B14</f>
        <v>100</v>
      </c>
    </row>
    <row r="163">
      <c r="A163" t="inlineStr" s="26">
        <is>
          <t xml:space="preserve">Overage price per verification</t>
        </is>
      </c>
      <c r="P163" s="19">
        <v>0</v>
      </c>
    </row>
    <row r="164" outlineLevel="1">
      <c r="A164" t="inlineStr" s="27">
        <is>
          <t xml:space="preserve">Overage price per verification &gt; Starter</t>
        </is>
      </c>
      <c r="P164" s="28">
        <f>'NeatRescue — Assumptions &amp; (2)'!E5</f>
        <v>0.1</v>
      </c>
    </row>
    <row r="165" outlineLevel="1">
      <c r="A165" t="inlineStr" s="27">
        <is>
          <t xml:space="preserve">Overage price per verification &gt; Team</t>
        </is>
      </c>
      <c r="P165" s="28">
        <f>'NeatRescue — Assumptions &amp; (2)'!E6</f>
        <v>0.1</v>
      </c>
    </row>
    <row r="166">
      <c r="A166" t="inlineStr" s="26">
        <is>
          <t xml:space="preserve">Overage price per verification</t>
        </is>
      </c>
      <c r="O166" s="19">
        <v>0</v>
      </c>
    </row>
    <row r="167" outlineLevel="1">
      <c r="A167" t="inlineStr" s="27">
        <is>
          <t xml:space="preserve">Overage price per verification &gt; Starter</t>
        </is>
      </c>
      <c r="O167" s="28">
        <f>'NeatRescue — Assumptions &amp; (2)'!E5</f>
        <v>0.1</v>
      </c>
    </row>
    <row r="168" outlineLevel="1">
      <c r="A168" t="inlineStr" s="27">
        <is>
          <t xml:space="preserve">Overage price per verification &gt; Team</t>
        </is>
      </c>
      <c r="O168" s="28">
        <f>'NeatRescue — Assumptions &amp; (2)'!E6</f>
        <v>0.1</v>
      </c>
    </row>
    <row r="169">
      <c r="A169" t="inlineStr" s="26">
        <is>
          <t xml:space="preserve">Payment processing expense</t>
        </is>
      </c>
      <c r="B169" s="16">
        <f>SUM('Model inputs'!B170,'Model inputs'!B171)</f>
        <v>166.79598415754705</v>
      </c>
      <c r="D169" s="16">
        <f>SUM('Model inputs'!D170,'Model inputs'!D171)</f>
        <v>9.629999999999999</v>
      </c>
      <c r="E169" s="16">
        <f>SUM('Model inputs'!E170,'Model inputs'!E171)</f>
        <v>19.741500000000002</v>
      </c>
      <c r="F169" s="16">
        <f>SUM('Model inputs'!F170,'Model inputs'!F171)</f>
        <v>30.406725</v>
      </c>
      <c r="G169" s="16">
        <f>SUM('Model inputs'!G170,'Model inputs'!G171)</f>
        <v>41.703918750000014</v>
      </c>
      <c r="H169" s="16">
        <f>SUM('Model inputs'!H170,'Model inputs'!H171)</f>
        <v>53.71800581250001</v>
      </c>
      <c r="I169" s="16">
        <f>SUM('Model inputs'!I170,'Model inputs'!I171)</f>
        <v>66.54131682187501</v>
      </c>
      <c r="J169" s="16">
        <f>SUM('Model inputs'!J170,'Model inputs'!J171)</f>
        <v>80.27438341078127</v>
      </c>
      <c r="K169" s="16">
        <f>SUM('Model inputs'!K170,'Model inputs'!K171)</f>
        <v>95.02680991324223</v>
      </c>
      <c r="L169" s="16">
        <f>SUM('Model inputs'!L170,'Model inputs'!L171)</f>
        <v>110.91822965788012</v>
      </c>
      <c r="M169" s="16">
        <f>SUM('Model inputs'!M170,'Model inputs'!M171)</f>
        <v>128.07935443931615</v>
      </c>
      <c r="N169" s="16">
        <f>SUM('Model inputs'!N170,'Model inputs'!N171)</f>
        <v>146.65312660811338</v>
      </c>
    </row>
    <row r="170" outlineLevel="1">
      <c r="A170" t="inlineStr" s="27">
        <is>
          <t xml:space="preserve">Payment processing expense &gt; Starter</t>
        </is>
      </c>
      <c r="B170" s="8">
        <f>'Model inputs'!B60*'Model inputs'!P196</f>
        <v>53.00059309679065</v>
      </c>
      <c r="D170" s="8">
        <f>'Model inputs'!D60*'Model inputs'!P196</f>
        <v>3.06</v>
      </c>
      <c r="E170" s="8">
        <f>'Model inputs'!E60*'Model inputs'!P196</f>
        <v>6.273000000000001</v>
      </c>
      <c r="F170" s="8">
        <f>'Model inputs'!F60*'Model inputs'!P196</f>
        <v>9.661950000000001</v>
      </c>
      <c r="G170" s="8">
        <f>'Model inputs'!G60*'Model inputs'!P196</f>
        <v>13.251712500000004</v>
      </c>
      <c r="H170" s="8">
        <f>'Model inputs'!H60*'Model inputs'!P196</f>
        <v>17.069272875000003</v>
      </c>
      <c r="I170" s="8">
        <f>'Model inputs'!I60*'Model inputs'!P196</f>
        <v>21.143969831250008</v>
      </c>
      <c r="J170" s="8">
        <f>'Model inputs'!J60*'Model inputs'!P196</f>
        <v>25.507747999687506</v>
      </c>
      <c r="K170" s="8">
        <f>'Model inputs'!K60*'Model inputs'!P196</f>
        <v>30.19543492570314</v>
      </c>
      <c r="L170" s="8">
        <f>'Model inputs'!L60*'Model inputs'!P196</f>
        <v>35.24504493801799</v>
      </c>
      <c r="M170" s="8">
        <f>'Model inputs'!M60*'Model inputs'!P196</f>
        <v>40.698112625577096</v>
      </c>
      <c r="N170" s="8">
        <f>'Model inputs'!N60*'Model inputs'!P196</f>
        <v>46.60005892220425</v>
      </c>
    </row>
    <row r="171" outlineLevel="1">
      <c r="A171" t="inlineStr" s="27">
        <is>
          <t xml:space="preserve">Payment processing expense &gt; Team</t>
        </is>
      </c>
      <c r="B171" s="8">
        <f>'Model inputs'!B61*'Model inputs'!P196</f>
        <v>113.7953910607564</v>
      </c>
      <c r="D171" s="8">
        <f>'Model inputs'!D61*'Model inputs'!P196</f>
        <v>6.569999999999999</v>
      </c>
      <c r="E171" s="8">
        <f>'Model inputs'!E61*'Model inputs'!P196</f>
        <v>13.4685</v>
      </c>
      <c r="F171" s="8">
        <f>'Model inputs'!F61*'Model inputs'!P196</f>
        <v>20.744775</v>
      </c>
      <c r="G171" s="8">
        <f>'Model inputs'!G61*'Model inputs'!P196</f>
        <v>28.45220625000001</v>
      </c>
      <c r="H171" s="8">
        <f>'Model inputs'!H61*'Model inputs'!P196</f>
        <v>36.64873293750001</v>
      </c>
      <c r="I171" s="8">
        <f>'Model inputs'!I61*'Model inputs'!P196</f>
        <v>45.39734699062501</v>
      </c>
      <c r="J171" s="8">
        <f>'Model inputs'!J61*'Model inputs'!P196</f>
        <v>54.76663541109376</v>
      </c>
      <c r="K171" s="8">
        <f>'Model inputs'!K61*'Model inputs'!P196</f>
        <v>64.83137498753909</v>
      </c>
      <c r="L171" s="8">
        <f>'Model inputs'!L61*'Model inputs'!P196</f>
        <v>75.67318471986214</v>
      </c>
      <c r="M171" s="8">
        <f>'Model inputs'!M61*'Model inputs'!P196</f>
        <v>87.38124181373904</v>
      </c>
      <c r="N171" s="8">
        <f>'Model inputs'!N61*'Model inputs'!P196</f>
        <v>100.05306768590913</v>
      </c>
    </row>
    <row r="172">
      <c r="A172" t="inlineStr" s="26">
        <is>
          <t xml:space="preserve">Variable compute expense</t>
        </is>
      </c>
      <c r="B172" s="16">
        <f>SUM('Model inputs'!B173,'Model inputs'!B174)</f>
        <v>270.19910206207</v>
      </c>
      <c r="D172" s="16">
        <f>SUM('Model inputs'!D173,'Model inputs'!D174)</f>
        <v>15.6</v>
      </c>
      <c r="E172" s="16">
        <f>SUM('Model inputs'!E173,'Model inputs'!E174)</f>
        <v>31.980000000000004</v>
      </c>
      <c r="F172" s="16">
        <f>SUM('Model inputs'!F173,'Model inputs'!F174)</f>
        <v>49.25700000000001</v>
      </c>
      <c r="G172" s="16">
        <f>SUM('Model inputs'!G173,'Model inputs'!G174)</f>
        <v>67.55775000000001</v>
      </c>
      <c r="H172" s="16">
        <f>SUM('Model inputs'!H173,'Model inputs'!H174)</f>
        <v>87.01982250000003</v>
      </c>
      <c r="I172" s="16">
        <f>SUM('Model inputs'!I173,'Model inputs'!I174)</f>
        <v>107.79278737500005</v>
      </c>
      <c r="J172" s="16">
        <f>SUM('Model inputs'!J173,'Model inputs'!J174)</f>
        <v>130.03949960625002</v>
      </c>
      <c r="K172" s="16">
        <f>SUM('Model inputs'!K173,'Model inputs'!K174)</f>
        <v>153.93751138593757</v>
      </c>
      <c r="L172" s="16">
        <f>SUM('Model inputs'!L173,'Model inputs'!L174)</f>
        <v>179.68062125264072</v>
      </c>
      <c r="M172" s="16">
        <f>SUM('Model inputs'!M173,'Model inputs'!M174)</f>
        <v>207.4805741696087</v>
      </c>
      <c r="N172" s="16">
        <f>SUM('Model inputs'!N173,'Model inputs'!N174)</f>
        <v>237.56892783868832</v>
      </c>
    </row>
    <row r="173" outlineLevel="1">
      <c r="A173" t="inlineStr" s="27">
        <is>
          <t xml:space="preserve">Variable compute expense &gt; Starter</t>
        </is>
      </c>
      <c r="B173" s="8">
        <f>'Model inputs'!B188*'Model inputs'!P190</f>
        <v>62.35363893740077</v>
      </c>
      <c r="D173" s="8">
        <f>'Model inputs'!D188*'Model inputs'!P190</f>
        <v>3.5999999999999996</v>
      </c>
      <c r="E173" s="8">
        <f>'Model inputs'!E188*'Model inputs'!P190</f>
        <v>7.380000000000001</v>
      </c>
      <c r="F173" s="8">
        <f>'Model inputs'!F188*'Model inputs'!P190</f>
        <v>11.367000000000003</v>
      </c>
      <c r="G173" s="8">
        <f>'Model inputs'!G188*'Model inputs'!P190</f>
        <v>15.590250000000005</v>
      </c>
      <c r="H173" s="8">
        <f>'Model inputs'!H188*'Model inputs'!P190</f>
        <v>20.081497500000005</v>
      </c>
      <c r="I173" s="8">
        <f>'Model inputs'!I188*'Model inputs'!P190</f>
        <v>24.875258625000008</v>
      </c>
      <c r="J173" s="8">
        <f>'Model inputs'!J188*'Model inputs'!P190</f>
        <v>30.009115293750007</v>
      </c>
      <c r="K173" s="8">
        <f>'Model inputs'!K188*'Model inputs'!P190</f>
        <v>35.524041089062514</v>
      </c>
      <c r="L173" s="8">
        <f>'Model inputs'!L188*'Model inputs'!P190</f>
        <v>41.4647587506094</v>
      </c>
      <c r="M173" s="8">
        <f>'Model inputs'!M188*'Model inputs'!P190</f>
        <v>47.88013250067893</v>
      </c>
      <c r="N173" s="8">
        <f>'Model inputs'!N188*'Model inputs'!P190</f>
        <v>54.823598732004996</v>
      </c>
    </row>
    <row r="174" outlineLevel="1">
      <c r="A174" t="inlineStr" s="27">
        <is>
          <t xml:space="preserve">Variable compute expense &gt; Team</t>
        </is>
      </c>
      <c r="B174" s="8">
        <f>'Model inputs'!B189*'Model inputs'!P190</f>
        <v>207.84546312466924</v>
      </c>
      <c r="D174" s="8">
        <f>'Model inputs'!D189*'Model inputs'!P190</f>
        <v>12</v>
      </c>
      <c r="E174" s="8">
        <f>'Model inputs'!E189*'Model inputs'!P190</f>
        <v>24.6</v>
      </c>
      <c r="F174" s="8">
        <f>'Model inputs'!F189*'Model inputs'!P190</f>
        <v>37.89000000000001</v>
      </c>
      <c r="G174" s="8">
        <f>'Model inputs'!G189*'Model inputs'!P190</f>
        <v>51.96750000000001</v>
      </c>
      <c r="H174" s="8">
        <f>'Model inputs'!H189*'Model inputs'!P190</f>
        <v>66.93832500000002</v>
      </c>
      <c r="I174" s="8">
        <f>'Model inputs'!I189*'Model inputs'!P190</f>
        <v>82.91752875000003</v>
      </c>
      <c r="J174" s="8">
        <f>'Model inputs'!J189*'Model inputs'!P190</f>
        <v>100.03038431250002</v>
      </c>
      <c r="K174" s="8">
        <f>'Model inputs'!K189*'Model inputs'!P190</f>
        <v>118.41347029687505</v>
      </c>
      <c r="L174" s="8">
        <f>'Model inputs'!L189*'Model inputs'!P190</f>
        <v>138.2158625020313</v>
      </c>
      <c r="M174" s="8">
        <f>'Model inputs'!M189*'Model inputs'!P190</f>
        <v>159.60044166892976</v>
      </c>
      <c r="N174" s="8">
        <f>'Model inputs'!N189*'Model inputs'!P190</f>
        <v>182.74532910668333</v>
      </c>
    </row>
    <row r="175">
      <c r="A175" t="inlineStr" s="26">
        <is>
          <t xml:space="preserve">Variable logging expense</t>
        </is>
      </c>
      <c r="B175" s="16">
        <f>SUM('Model inputs'!B176,'Model inputs'!B177)</f>
        <v>90.06636735402333</v>
      </c>
      <c r="D175" s="16">
        <f>SUM('Model inputs'!D176,'Model inputs'!D177)</f>
        <v>5.2</v>
      </c>
      <c r="E175" s="16">
        <f>SUM('Model inputs'!E176,'Model inputs'!E177)</f>
        <v>10.660000000000002</v>
      </c>
      <c r="F175" s="16">
        <f>SUM('Model inputs'!F176,'Model inputs'!F177)</f>
        <v>16.419000000000004</v>
      </c>
      <c r="G175" s="16">
        <f>SUM('Model inputs'!G176,'Model inputs'!G177)</f>
        <v>22.519250000000007</v>
      </c>
      <c r="H175" s="16">
        <f>SUM('Model inputs'!H176,'Model inputs'!H177)</f>
        <v>29.00660750000001</v>
      </c>
      <c r="I175" s="16">
        <f>SUM('Model inputs'!I176,'Model inputs'!I177)</f>
        <v>35.93092912500001</v>
      </c>
      <c r="J175" s="16">
        <f>SUM('Model inputs'!J176,'Model inputs'!J177)</f>
        <v>43.346499868750016</v>
      </c>
      <c r="K175" s="16">
        <f>SUM('Model inputs'!K176,'Model inputs'!K177)</f>
        <v>51.31250379531252</v>
      </c>
      <c r="L175" s="16">
        <f>SUM('Model inputs'!L176,'Model inputs'!L177)</f>
        <v>59.89354041754691</v>
      </c>
      <c r="M175" s="16">
        <f>SUM('Model inputs'!M176,'Model inputs'!M177)</f>
        <v>69.16019138986958</v>
      </c>
      <c r="N175" s="16">
        <f>SUM('Model inputs'!N176,'Model inputs'!N177)</f>
        <v>79.18964261289611</v>
      </c>
    </row>
    <row r="176" outlineLevel="1">
      <c r="A176" t="inlineStr" s="27">
        <is>
          <t xml:space="preserve">Variable logging expense &gt; Starter</t>
        </is>
      </c>
      <c r="B176" s="8">
        <f>'Model inputs'!B188*'Model inputs'!P194</f>
        <v>20.784546312466922</v>
      </c>
      <c r="D176" s="8">
        <f>'Model inputs'!D188*'Model inputs'!P194</f>
        <v>1.2</v>
      </c>
      <c r="E176" s="8">
        <f>'Model inputs'!E188*'Model inputs'!P194</f>
        <v>2.4600000000000004</v>
      </c>
      <c r="F176" s="8">
        <f>'Model inputs'!F188*'Model inputs'!P194</f>
        <v>3.789000000000001</v>
      </c>
      <c r="G176" s="8">
        <f>'Model inputs'!G188*'Model inputs'!P194</f>
        <v>5.1967500000000015</v>
      </c>
      <c r="H176" s="8">
        <f>'Model inputs'!H188*'Model inputs'!P194</f>
        <v>6.693832500000002</v>
      </c>
      <c r="I176" s="8">
        <f>'Model inputs'!I188*'Model inputs'!P194</f>
        <v>8.291752875000004</v>
      </c>
      <c r="J176" s="8">
        <f>'Model inputs'!J188*'Model inputs'!P194</f>
        <v>10.003038431250003</v>
      </c>
      <c r="K176" s="8">
        <f>'Model inputs'!K188*'Model inputs'!P194</f>
        <v>11.841347029687507</v>
      </c>
      <c r="L176" s="8">
        <f>'Model inputs'!L188*'Model inputs'!P194</f>
        <v>13.821586250203135</v>
      </c>
      <c r="M176" s="8">
        <f>'Model inputs'!M188*'Model inputs'!P194</f>
        <v>15.96004416689298</v>
      </c>
      <c r="N176" s="8">
        <f>'Model inputs'!N188*'Model inputs'!P194</f>
        <v>18.274532910668334</v>
      </c>
    </row>
    <row r="177" outlineLevel="1">
      <c r="A177" t="inlineStr" s="27">
        <is>
          <t xml:space="preserve">Variable logging expense &gt; Team</t>
        </is>
      </c>
      <c r="B177" s="8">
        <f>'Model inputs'!B189*'Model inputs'!P194</f>
        <v>69.28182104155641</v>
      </c>
      <c r="D177" s="8">
        <f>'Model inputs'!D189*'Model inputs'!P194</f>
        <v>4</v>
      </c>
      <c r="E177" s="8">
        <f>'Model inputs'!E189*'Model inputs'!P194</f>
        <v>8.200000000000001</v>
      </c>
      <c r="F177" s="8">
        <f>'Model inputs'!F189*'Model inputs'!P194</f>
        <v>12.630000000000003</v>
      </c>
      <c r="G177" s="8">
        <f>'Model inputs'!G189*'Model inputs'!P194</f>
        <v>17.322500000000005</v>
      </c>
      <c r="H177" s="8">
        <f>'Model inputs'!H189*'Model inputs'!P194</f>
        <v>22.312775000000006</v>
      </c>
      <c r="I177" s="8">
        <f>'Model inputs'!I189*'Model inputs'!P194</f>
        <v>27.63917625000001</v>
      </c>
      <c r="J177" s="8">
        <f>'Model inputs'!J189*'Model inputs'!P194</f>
        <v>33.34346143750001</v>
      </c>
      <c r="K177" s="8">
        <f>'Model inputs'!K189*'Model inputs'!P194</f>
        <v>39.47115676562502</v>
      </c>
      <c r="L177" s="8">
        <f>'Model inputs'!L189*'Model inputs'!P194</f>
        <v>46.071954167343776</v>
      </c>
      <c r="M177" s="8">
        <f>'Model inputs'!M189*'Model inputs'!P194</f>
        <v>53.2001472229766</v>
      </c>
      <c r="N177" s="8">
        <f>'Model inputs'!N189*'Model inputs'!P194</f>
        <v>60.91510970222778</v>
      </c>
    </row>
    <row r="178">
      <c r="A178" t="inlineStr" s="26">
        <is>
          <t xml:space="preserve">Variable support expense</t>
        </is>
      </c>
      <c r="B178" s="16">
        <f>SUM('Model inputs'!B179,'Model inputs'!B180)</f>
        <v>277.12728416622565</v>
      </c>
      <c r="D178" s="16">
        <f>SUM('Model inputs'!D179,'Model inputs'!D180)</f>
        <v>16</v>
      </c>
      <c r="E178" s="16">
        <f>SUM('Model inputs'!E179,'Model inputs'!E180)</f>
        <v>32.800000000000004</v>
      </c>
      <c r="F178" s="16">
        <f>SUM('Model inputs'!F179,'Model inputs'!F180)</f>
        <v>50.52000000000001</v>
      </c>
      <c r="G178" s="16">
        <f>SUM('Model inputs'!G179,'Model inputs'!G180)</f>
        <v>69.29000000000002</v>
      </c>
      <c r="H178" s="16">
        <f>SUM('Model inputs'!H179,'Model inputs'!H180)</f>
        <v>89.25110000000002</v>
      </c>
      <c r="I178" s="16">
        <f>SUM('Model inputs'!I179,'Model inputs'!I180)</f>
        <v>110.55670500000004</v>
      </c>
      <c r="J178" s="16">
        <f>SUM('Model inputs'!J179,'Model inputs'!J180)</f>
        <v>133.37384575000004</v>
      </c>
      <c r="K178" s="16">
        <f>SUM('Model inputs'!K179,'Model inputs'!K180)</f>
        <v>157.88462706250007</v>
      </c>
      <c r="L178" s="16">
        <f>SUM('Model inputs'!L179,'Model inputs'!L180)</f>
        <v>184.2878166693751</v>
      </c>
      <c r="M178" s="16">
        <f>SUM('Model inputs'!M179,'Model inputs'!M180)</f>
        <v>212.8005888919064</v>
      </c>
      <c r="N178" s="16">
        <f>SUM('Model inputs'!N179,'Model inputs'!N180)</f>
        <v>243.66043880891112</v>
      </c>
    </row>
    <row r="179" outlineLevel="1">
      <c r="A179" t="inlineStr" s="27">
        <is>
          <t xml:space="preserve">Variable support expense &gt; Starter</t>
        </is>
      </c>
      <c r="B179" s="8">
        <f>'Model inputs'!B18*'Model inputs'!P199</f>
        <v>69.28182104155641</v>
      </c>
      <c r="D179" s="8">
        <f>'Model inputs'!D18*'Model inputs'!P199</f>
        <v>4</v>
      </c>
      <c r="E179" s="8">
        <f>'Model inputs'!E18*'Model inputs'!P199</f>
        <v>8.200000000000001</v>
      </c>
      <c r="F179" s="8">
        <f>'Model inputs'!F18*'Model inputs'!P199</f>
        <v>12.630000000000003</v>
      </c>
      <c r="G179" s="8">
        <f>'Model inputs'!G18*'Model inputs'!P199</f>
        <v>17.322500000000005</v>
      </c>
      <c r="H179" s="8">
        <f>'Model inputs'!H18*'Model inputs'!P199</f>
        <v>22.312775000000006</v>
      </c>
      <c r="I179" s="8">
        <f>'Model inputs'!I18*'Model inputs'!P199</f>
        <v>27.63917625000001</v>
      </c>
      <c r="J179" s="8">
        <f>'Model inputs'!J18*'Model inputs'!P199</f>
        <v>33.34346143750001</v>
      </c>
      <c r="K179" s="8">
        <f>'Model inputs'!K18*'Model inputs'!P199</f>
        <v>39.47115676562502</v>
      </c>
      <c r="L179" s="8">
        <f>'Model inputs'!L18*'Model inputs'!P199</f>
        <v>46.071954167343776</v>
      </c>
      <c r="M179" s="8">
        <f>'Model inputs'!M18*'Model inputs'!P199</f>
        <v>53.2001472229766</v>
      </c>
      <c r="N179" s="8">
        <f>'Model inputs'!N18*'Model inputs'!P199</f>
        <v>60.91510970222778</v>
      </c>
    </row>
    <row r="180" outlineLevel="1">
      <c r="A180" t="inlineStr" s="27">
        <is>
          <t xml:space="preserve">Variable support expense &gt; Team</t>
        </is>
      </c>
      <c r="B180" s="8">
        <f>'Model inputs'!B19*'Model inputs'!P200</f>
        <v>207.84546312466924</v>
      </c>
      <c r="D180" s="8">
        <f>'Model inputs'!D19*'Model inputs'!P200</f>
        <v>12</v>
      </c>
      <c r="E180" s="8">
        <f>'Model inputs'!E19*'Model inputs'!P200</f>
        <v>24.6</v>
      </c>
      <c r="F180" s="8">
        <f>'Model inputs'!F19*'Model inputs'!P200</f>
        <v>37.89000000000001</v>
      </c>
      <c r="G180" s="8">
        <f>'Model inputs'!G19*'Model inputs'!P200</f>
        <v>51.967500000000015</v>
      </c>
      <c r="H180" s="8">
        <f>'Model inputs'!H19*'Model inputs'!P200</f>
        <v>66.93832500000002</v>
      </c>
      <c r="I180" s="8">
        <f>'Model inputs'!I19*'Model inputs'!P200</f>
        <v>82.91752875000003</v>
      </c>
      <c r="J180" s="8">
        <f>'Model inputs'!J19*'Model inputs'!P200</f>
        <v>100.03038431250003</v>
      </c>
      <c r="K180" s="8">
        <f>'Model inputs'!K19*'Model inputs'!P200</f>
        <v>118.41347029687506</v>
      </c>
      <c r="L180" s="8">
        <f>'Model inputs'!L19*'Model inputs'!P200</f>
        <v>138.2158625020313</v>
      </c>
      <c r="M180" s="8">
        <f>'Model inputs'!M19*'Model inputs'!P200</f>
        <v>159.6004416689298</v>
      </c>
      <c r="N180" s="8">
        <f>'Model inputs'!N19*'Model inputs'!P200</f>
        <v>182.74532910668336</v>
      </c>
    </row>
    <row r="181">
      <c r="A181" t="inlineStr" s="26">
        <is>
          <t xml:space="preserve">Verifications per customer</t>
        </is>
      </c>
      <c r="P181" s="6">
        <v>0</v>
      </c>
    </row>
    <row r="182" outlineLevel="1">
      <c r="A182" t="inlineStr" s="27">
        <is>
          <t xml:space="preserve">Verifications per customer &gt; Starter</t>
        </is>
      </c>
      <c r="P182" s="9">
        <f>'NeatRescue — Assumptions &amp; (2)'!D5</f>
        <v>120</v>
      </c>
    </row>
    <row r="183" outlineLevel="1">
      <c r="A183" t="inlineStr" s="27">
        <is>
          <t xml:space="preserve">Verifications per customer &gt; Team</t>
        </is>
      </c>
      <c r="P183" s="9">
        <f>'NeatRescue — Assumptions &amp; (2)'!D6</f>
        <v>800</v>
      </c>
    </row>
    <row r="184">
      <c r="A184" t="inlineStr" s="26">
        <is>
          <t xml:space="preserve">Verifications per customer</t>
        </is>
      </c>
      <c r="O184" s="6">
        <v>0</v>
      </c>
    </row>
    <row r="185" outlineLevel="1">
      <c r="A185" t="inlineStr" s="27">
        <is>
          <t xml:space="preserve">Verifications per customer &gt; Starter</t>
        </is>
      </c>
      <c r="O185" s="9">
        <f>'NeatRescue — Assumptions &amp; (2)'!D5</f>
        <v>120</v>
      </c>
    </row>
    <row r="186" outlineLevel="1">
      <c r="A186" t="inlineStr" s="27">
        <is>
          <t xml:space="preserve">Verifications per customer &gt; Team</t>
        </is>
      </c>
      <c r="O186" s="9">
        <f>'NeatRescue — Assumptions &amp; (2)'!D6</f>
        <v>800</v>
      </c>
    </row>
    <row r="187">
      <c r="A187" t="inlineStr" s="26">
        <is>
          <t xml:space="preserve">Billed verifications</t>
        </is>
      </c>
      <c r="B187" s="6">
        <f>SUM('Model inputs'!B188,'Model inputs'!B189)</f>
        <v>18013.273470804666</v>
      </c>
      <c r="D187" s="6">
        <f>SUM('Model inputs'!D188,'Model inputs'!D189)</f>
        <v>1040</v>
      </c>
      <c r="E187" s="6">
        <f>SUM('Model inputs'!E188,'Model inputs'!E189)</f>
        <v>2132.0000000000005</v>
      </c>
      <c r="F187" s="6">
        <f>SUM('Model inputs'!F188,'Model inputs'!F189)</f>
        <v>3283.8000000000006</v>
      </c>
      <c r="G187" s="6">
        <f>SUM('Model inputs'!G188,'Model inputs'!G189)</f>
        <v>4503.850000000001</v>
      </c>
      <c r="H187" s="6">
        <f>SUM('Model inputs'!H188,'Model inputs'!H189)</f>
        <v>5801.321500000002</v>
      </c>
      <c r="I187" s="6">
        <f>SUM('Model inputs'!I188,'Model inputs'!I189)</f>
        <v>7186.185825000002</v>
      </c>
      <c r="J187" s="6">
        <f>SUM('Model inputs'!J188,'Model inputs'!J189)</f>
        <v>8669.299973750003</v>
      </c>
      <c r="K187" s="6">
        <f>SUM('Model inputs'!K188,'Model inputs'!K189)</f>
        <v>10262.500759062505</v>
      </c>
      <c r="L187" s="6">
        <f>SUM('Model inputs'!L188,'Model inputs'!L189)</f>
        <v>11978.708083509382</v>
      </c>
      <c r="M187" s="6">
        <f>SUM('Model inputs'!M188,'Model inputs'!M189)</f>
        <v>13832.038277973914</v>
      </c>
      <c r="N187" s="6">
        <f>SUM('Model inputs'!N188,'Model inputs'!N189)</f>
        <v>15837.928522579223</v>
      </c>
    </row>
    <row r="188" outlineLevel="1">
      <c r="A188" t="inlineStr" s="27">
        <is>
          <t xml:space="preserve">Billed verifications &gt; Starter</t>
        </is>
      </c>
      <c r="B188" s="9">
        <f>'Model inputs'!B18*'Model inputs'!P182</f>
        <v>4156.909262493385</v>
      </c>
      <c r="D188" s="9">
        <f>'Model inputs'!D18*'Model inputs'!P182</f>
        <v>240</v>
      </c>
      <c r="E188" s="9">
        <f>'Model inputs'!E18*'Model inputs'!P182</f>
        <v>492.00000000000006</v>
      </c>
      <c r="F188" s="9">
        <f>'Model inputs'!F18*'Model inputs'!P182</f>
        <v>757.8000000000002</v>
      </c>
      <c r="G188" s="9">
        <f>'Model inputs'!G18*'Model inputs'!P182</f>
        <v>1039.3500000000004</v>
      </c>
      <c r="H188" s="9">
        <f>'Model inputs'!H18*'Model inputs'!P182</f>
        <v>1338.7665000000004</v>
      </c>
      <c r="I188" s="9">
        <f>'Model inputs'!I18*'Model inputs'!P182</f>
        <v>1658.3505750000006</v>
      </c>
      <c r="J188" s="9">
        <f>'Model inputs'!J18*'Model inputs'!P182</f>
        <v>2000.6076862500006</v>
      </c>
      <c r="K188" s="9">
        <f>'Model inputs'!K18*'Model inputs'!P182</f>
        <v>2368.2694059375012</v>
      </c>
      <c r="L188" s="9">
        <f>'Model inputs'!L18*'Model inputs'!P182</f>
        <v>2764.3172500406267</v>
      </c>
      <c r="M188" s="9">
        <f>'Model inputs'!M18*'Model inputs'!P182</f>
        <v>3192.0088333785957</v>
      </c>
      <c r="N188" s="9">
        <f>'Model inputs'!N18*'Model inputs'!P182</f>
        <v>3654.9065821336667</v>
      </c>
    </row>
    <row r="189" outlineLevel="1">
      <c r="A189" t="inlineStr" s="27">
        <is>
          <t xml:space="preserve">Billed verifications &gt; Team</t>
        </is>
      </c>
      <c r="B189" s="9">
        <f>'Model inputs'!B19*'Model inputs'!P183</f>
        <v>13856.364208311283</v>
      </c>
      <c r="D189" s="9">
        <f>'Model inputs'!D19*'Model inputs'!P183</f>
        <v>800</v>
      </c>
      <c r="E189" s="9">
        <f>'Model inputs'!E19*'Model inputs'!P183</f>
        <v>1640.0000000000002</v>
      </c>
      <c r="F189" s="9">
        <f>'Model inputs'!F19*'Model inputs'!P183</f>
        <v>2526.0000000000005</v>
      </c>
      <c r="G189" s="9">
        <f>'Model inputs'!G19*'Model inputs'!P183</f>
        <v>3464.500000000001</v>
      </c>
      <c r="H189" s="9">
        <f>'Model inputs'!H19*'Model inputs'!P183</f>
        <v>4462.555000000001</v>
      </c>
      <c r="I189" s="9">
        <f>'Model inputs'!I19*'Model inputs'!P183</f>
        <v>5527.835250000002</v>
      </c>
      <c r="J189" s="9">
        <f>'Model inputs'!J19*'Model inputs'!P183</f>
        <v>6668.692287500002</v>
      </c>
      <c r="K189" s="9">
        <f>'Model inputs'!K19*'Model inputs'!P183</f>
        <v>7894.231353125004</v>
      </c>
      <c r="L189" s="9">
        <f>'Model inputs'!L19*'Model inputs'!P183</f>
        <v>9214.390833468755</v>
      </c>
      <c r="M189" s="9">
        <f>'Model inputs'!M19*'Model inputs'!P183</f>
        <v>10640.029444595319</v>
      </c>
      <c r="N189" s="9">
        <f>'Model inputs'!N19*'Model inputs'!P183</f>
        <v>12183.021940445557</v>
      </c>
    </row>
    <row r="190">
      <c r="A190" t="inlineStr" s="26">
        <is>
          <t xml:space="preserve">Compute cost per verification · NeatRescue — Hackathon submission · 12-month scenario comparison — hypothetical</t>
        </is>
      </c>
      <c r="P190" s="28">
        <f>'NeatRescue — Assumptions &amp; simu'!B8</f>
        <v>0.015</v>
      </c>
    </row>
    <row r="191">
      <c r="A191" t="inlineStr" s="26">
        <is>
          <t xml:space="preserve">Compute cost per verification · NeatRescue — Revenue &amp; costs · Customers, usage &amp; unit economics</t>
        </is>
      </c>
      <c r="O191" s="28">
        <f>'NeatRescue — Assumptions &amp; simu'!B8</f>
        <v>0.015</v>
      </c>
    </row>
    <row r="192">
      <c r="A192" t="inlineStr" s="26">
        <is>
          <t xml:space="preserve">Inference cost per verification · NeatRescue — Hackathon submission · 12-month scenario comparison — hypothetical</t>
        </is>
      </c>
      <c r="P192" s="28">
        <f>'NeatRescue — Assumptions &amp; simu'!B7</f>
        <v>0.05</v>
      </c>
    </row>
    <row r="193">
      <c r="A193" t="inlineStr" s="26">
        <is>
          <t xml:space="preserve">Inference cost per verification · NeatRescue — Revenue &amp; costs · Customers, usage &amp; unit economics</t>
        </is>
      </c>
      <c r="O193" s="28">
        <f>'NeatRescue — Assumptions &amp; simu'!B7</f>
        <v>0.05</v>
      </c>
    </row>
    <row r="194">
      <c r="A194" t="inlineStr" s="26">
        <is>
          <t xml:space="preserve">Logging cost per verification · NeatRescue — Hackathon submission · 12-month scenario comparison — hypothetical</t>
        </is>
      </c>
      <c r="P194" s="28">
        <f>'NeatRescue — Assumptions &amp; simu'!B9</f>
        <v>0.005</v>
      </c>
    </row>
    <row r="195">
      <c r="A195" t="inlineStr" s="26">
        <is>
          <t xml:space="preserve">Logging cost per verification · NeatRescue — Revenue &amp; costs · Customers, usage &amp; unit economics</t>
        </is>
      </c>
      <c r="O195" s="28">
        <f>'NeatRescue — Assumptions &amp; simu'!B9</f>
        <v>0.005</v>
      </c>
    </row>
    <row r="196">
      <c r="A196" t="inlineStr" s="26">
        <is>
          <t xml:space="preserve">Payment processing rate · NeatRescue — Hackathon submission · 12-month scenario comparison — hypothetical</t>
        </is>
      </c>
      <c r="P196" s="9">
        <f>'NeatRescue — Assumptions &amp; simu'!B18</f>
        <v>0.03</v>
      </c>
    </row>
    <row r="197">
      <c r="A197" t="inlineStr" s="26">
        <is>
          <t xml:space="preserve">Payment processing rate · NeatRescue — Revenue &amp; costs · Customers, usage &amp; unit economics</t>
        </is>
      </c>
      <c r="O197" s="9">
        <f>'NeatRescue — Assumptions &amp; simu'!B18</f>
        <v>0.03</v>
      </c>
    </row>
    <row r="198">
      <c r="A198" t="inlineStr" s="26">
        <is>
          <t xml:space="preserve">Support cost per customer</t>
        </is>
      </c>
      <c r="P198" s="16">
        <v>0</v>
      </c>
    </row>
    <row r="199" outlineLevel="1">
      <c r="A199" t="inlineStr" s="27">
        <is>
          <t xml:space="preserve">Support cost per customer &gt; Starter</t>
        </is>
      </c>
      <c r="P199" s="8">
        <f>'NeatRescue — Assumptions &amp; (2)'!F5</f>
        <v>2</v>
      </c>
    </row>
    <row r="200" outlineLevel="1">
      <c r="A200" t="inlineStr" s="27">
        <is>
          <t xml:space="preserve">Support cost per customer &gt; Team</t>
        </is>
      </c>
      <c r="P200" s="8">
        <f>'NeatRescue — Assumptions &amp; (2)'!F6</f>
        <v>12</v>
      </c>
    </row>
    <row r="201">
      <c r="A201" t="inlineStr" s="26">
        <is>
          <t xml:space="preserve">Support cost per customer</t>
        </is>
      </c>
      <c r="O201" s="16">
        <v>0</v>
      </c>
    </row>
    <row r="202" outlineLevel="1">
      <c r="A202" t="inlineStr" s="27">
        <is>
          <t xml:space="preserve">Support cost per customer &gt; Starter</t>
        </is>
      </c>
      <c r="O202" s="8">
        <f>'NeatRescue — Assumptions &amp; (2)'!F5</f>
        <v>2</v>
      </c>
    </row>
    <row r="203" outlineLevel="1">
      <c r="A203" t="inlineStr" s="27">
        <is>
          <t xml:space="preserve">Support cost per customer &gt; Team</t>
        </is>
      </c>
      <c r="O203" s="8">
        <f>'NeatRescue — Assumptions &amp; (2)'!F6</f>
        <v>12</v>
      </c>
    </row>
    <row r="204">
      <c r="A204" t="inlineStr" s="26">
        <is>
          <t xml:space="preserve">Monthly customer churn · NeatRescue — Revenue &amp; costs · Customers, usage &amp; unit economics</t>
        </is>
      </c>
      <c r="O204" s="9">
        <f>'NeatRescue — Assumptions &amp; simu'!B6</f>
        <v>0.05</v>
      </c>
    </row>
    <row r="205">
      <c r="A205" t="inlineStr" s="26">
        <is>
          <t xml:space="preserve">Acquisition expense · NeatRescue — Cash &amp; scenarios · Monthly cash — actual-zero and hypothetical bootstrap cases · Bootstrap no-sales stress — hypothetical</t>
        </is>
      </c>
      <c r="B205" s="8">
        <f>IF('Model inputs'!O336="","",'Model inputs'!O336)</f>
        <v>150</v>
      </c>
      <c r="C205" s="8">
        <v>0</v>
      </c>
      <c r="D205" s="8">
        <f>IF('Model inputs'!O336="","",'Model inputs'!O336)</f>
        <v>150</v>
      </c>
      <c r="E205" s="8">
        <f>IF('Model inputs'!O336="","",'Model inputs'!O336)</f>
        <v>150</v>
      </c>
      <c r="F205" s="8">
        <f>IF('Model inputs'!O336="","",'Model inputs'!O336)</f>
        <v>150</v>
      </c>
      <c r="G205" s="8">
        <f>IF('Model inputs'!O336="","",'Model inputs'!O336)</f>
        <v>150</v>
      </c>
      <c r="H205" s="8">
        <f>IF('Model inputs'!O336="","",'Model inputs'!O336)</f>
        <v>150</v>
      </c>
      <c r="I205" s="8">
        <f>IF('Model inputs'!O336="","",'Model inputs'!O336)</f>
        <v>150</v>
      </c>
      <c r="J205" s="8">
        <f>IF('Model inputs'!O336="","",'Model inputs'!O336)</f>
        <v>150</v>
      </c>
      <c r="K205" s="8">
        <f>IF('Model inputs'!O336="","",'Model inputs'!O336)</f>
        <v>150</v>
      </c>
      <c r="L205" s="8">
        <f>IF('Model inputs'!O336="","",'Model inputs'!O336)</f>
        <v>150</v>
      </c>
      <c r="M205" s="8">
        <f>IF('Model inputs'!O336="","",'Model inputs'!O336)</f>
        <v>150</v>
      </c>
      <c r="N205" s="8">
        <f>IF('Model inputs'!O336="","",'Model inputs'!O336)</f>
        <v>150</v>
      </c>
    </row>
    <row r="206">
      <c r="A206" t="inlineStr" s="26">
        <is>
          <t xml:space="preserve">Acquisition expense · Break-even customers · Growth · Growth</t>
        </is>
      </c>
      <c r="B206" s="8">
        <f>IF('Model inputs'!O337="","",'Model inputs'!O337)</f>
        <v>300</v>
      </c>
      <c r="C206" s="8">
        <v>0</v>
      </c>
      <c r="D206" s="8">
        <f>IF('Model inputs'!O337="","",'Model inputs'!O337)</f>
        <v>300</v>
      </c>
      <c r="E206" s="8">
        <f>IF('Model inputs'!O337="","",'Model inputs'!O337)</f>
        <v>300</v>
      </c>
      <c r="F206" s="8">
        <f>IF('Model inputs'!O337="","",'Model inputs'!O337)</f>
        <v>300</v>
      </c>
      <c r="G206" s="8">
        <f>IF('Model inputs'!O337="","",'Model inputs'!O337)</f>
        <v>300</v>
      </c>
      <c r="H206" s="8">
        <f>IF('Model inputs'!O337="","",'Model inputs'!O337)</f>
        <v>300</v>
      </c>
      <c r="I206" s="8">
        <f>IF('Model inputs'!O337="","",'Model inputs'!O337)</f>
        <v>300</v>
      </c>
      <c r="J206" s="8">
        <f>IF('Model inputs'!O337="","",'Model inputs'!O337)</f>
        <v>300</v>
      </c>
      <c r="K206" s="8">
        <f>IF('Model inputs'!O337="","",'Model inputs'!O337)</f>
        <v>300</v>
      </c>
      <c r="L206" s="8">
        <f>IF('Model inputs'!O337="","",'Model inputs'!O337)</f>
        <v>300</v>
      </c>
      <c r="M206" s="8">
        <f>IF('Model inputs'!O337="","",'Model inputs'!O337)</f>
        <v>300</v>
      </c>
      <c r="N206" s="8">
        <f>IF('Model inputs'!O337="","",'Model inputs'!O337)</f>
        <v>300</v>
      </c>
    </row>
    <row r="207">
      <c r="A207" t="inlineStr" s="26">
        <is>
          <t xml:space="preserve">Acquisition expense · NeatRescue — Cash &amp; scenarios · Monthly cash — actual-zero and hypothetical bootstrap cases · Bootstrap $5,000 — hypothetical</t>
        </is>
      </c>
      <c r="B207" s="8">
        <f>IF('Model inputs'!O338="","",'Model inputs'!O338)</f>
        <v>150</v>
      </c>
      <c r="C207" s="8">
        <v>0</v>
      </c>
      <c r="D207" s="8">
        <f>IF('Model inputs'!O338="","",'Model inputs'!O338)</f>
        <v>150</v>
      </c>
      <c r="E207" s="8">
        <f>IF('Model inputs'!O338="","",'Model inputs'!O338)</f>
        <v>150</v>
      </c>
      <c r="F207" s="8">
        <f>IF('Model inputs'!O338="","",'Model inputs'!O338)</f>
        <v>150</v>
      </c>
      <c r="G207" s="8">
        <f>IF('Model inputs'!O338="","",'Model inputs'!O338)</f>
        <v>150</v>
      </c>
      <c r="H207" s="8">
        <f>IF('Model inputs'!O338="","",'Model inputs'!O338)</f>
        <v>150</v>
      </c>
      <c r="I207" s="8">
        <f>IF('Model inputs'!O338="","",'Model inputs'!O338)</f>
        <v>150</v>
      </c>
      <c r="J207" s="8">
        <f>IF('Model inputs'!O338="","",'Model inputs'!O338)</f>
        <v>150</v>
      </c>
      <c r="K207" s="8">
        <f>IF('Model inputs'!O338="","",'Model inputs'!O338)</f>
        <v>150</v>
      </c>
      <c r="L207" s="8">
        <f>IF('Model inputs'!O338="","",'Model inputs'!O338)</f>
        <v>150</v>
      </c>
      <c r="M207" s="8">
        <f>IF('Model inputs'!O338="","",'Model inputs'!O338)</f>
        <v>150</v>
      </c>
      <c r="N207" s="8">
        <f>IF('Model inputs'!O338="","",'Model inputs'!O338)</f>
        <v>150</v>
      </c>
    </row>
    <row r="208">
      <c r="A208" t="inlineStr" s="26">
        <is>
          <t xml:space="preserve">Acquisition expense · Break-even customers · Conservative · Conservative</t>
        </is>
      </c>
      <c r="B208" s="8">
        <f>IF('Model inputs'!O339="","",'Model inputs'!O339)</f>
        <v>75</v>
      </c>
      <c r="C208" s="8">
        <v>0</v>
      </c>
      <c r="D208" s="8">
        <f>IF('Model inputs'!O339="","",'Model inputs'!O339)</f>
        <v>75</v>
      </c>
      <c r="E208" s="8">
        <f>IF('Model inputs'!O339="","",'Model inputs'!O339)</f>
        <v>75</v>
      </c>
      <c r="F208" s="8">
        <f>IF('Model inputs'!O339="","",'Model inputs'!O339)</f>
        <v>75</v>
      </c>
      <c r="G208" s="8">
        <f>IF('Model inputs'!O339="","",'Model inputs'!O339)</f>
        <v>75</v>
      </c>
      <c r="H208" s="8">
        <f>IF('Model inputs'!O339="","",'Model inputs'!O339)</f>
        <v>75</v>
      </c>
      <c r="I208" s="8">
        <f>IF('Model inputs'!O339="","",'Model inputs'!O339)</f>
        <v>75</v>
      </c>
      <c r="J208" s="8">
        <f>IF('Model inputs'!O339="","",'Model inputs'!O339)</f>
        <v>75</v>
      </c>
      <c r="K208" s="8">
        <f>IF('Model inputs'!O339="","",'Model inputs'!O339)</f>
        <v>75</v>
      </c>
      <c r="L208" s="8">
        <f>IF('Model inputs'!O339="","",'Model inputs'!O339)</f>
        <v>75</v>
      </c>
      <c r="M208" s="8">
        <f>IF('Model inputs'!O339="","",'Model inputs'!O339)</f>
        <v>75</v>
      </c>
      <c r="N208" s="8">
        <f>IF('Model inputs'!O339="","",'Model inputs'!O339)</f>
        <v>75</v>
      </c>
    </row>
    <row r="209">
      <c r="A209" t="inlineStr" s="26">
        <is>
          <t xml:space="preserve">Closing cash · Closing cash · Growth · Growth</t>
        </is>
      </c>
      <c r="B209" s="8">
        <f>IF('Model inputs'!B13="","",'Model inputs'!B13)</f>
        <v>50598.82504906194</v>
      </c>
      <c r="C209" s="8">
        <v>0</v>
      </c>
      <c r="D209" s="8">
        <f>IF('Model inputs'!D13="","",'Model inputs'!D13)</f>
        <v>-354.86</v>
      </c>
      <c r="E209" s="8">
        <f>IF('Model inputs'!E13="","",'Model inputs'!E13)</f>
        <v>-11.163200000000074</v>
      </c>
      <c r="F209" s="8">
        <f>IF('Model inputs'!F13="","",'Model inputs'!F13)</f>
        <v>892.9203459999995</v>
      </c>
      <c r="G209" s="8">
        <f>IF('Model inputs'!G13="","",'Model inputs'!G13)</f>
        <v>2428.883683119999</v>
      </c>
      <c r="H209" s="8">
        <f>IF('Model inputs'!H13="","",'Model inputs'!H13)</f>
        <v>4679.320762251398</v>
      </c>
      <c r="I209" s="8">
        <f>IF('Model inputs'!I13="","",'Model inputs'!I13)</f>
        <v>7739.580267452606</v>
      </c>
      <c r="J209" s="8">
        <f>IF('Model inputs'!J13="","",'Model inputs'!J13)</f>
        <v>11719.667856708089</v>
      </c>
      <c r="K209" s="8">
        <f>IF('Model inputs'!K13="","",'Model inputs'!K13)</f>
        <v>16746.434067877766</v>
      </c>
      <c r="L209" s="8">
        <f>IF('Model inputs'!L13="","",'Model inputs'!L13)</f>
        <v>22966.09072974299</v>
      </c>
      <c r="M209" s="8">
        <f>IF('Model inputs'!M13="","",'Model inputs'!M13)</f>
        <v>30547.105144337493</v>
      </c>
      <c r="N209" s="8">
        <f>IF('Model inputs'!N13="","",'Model inputs'!N13)</f>
        <v>39683.52869696717</v>
      </c>
    </row>
    <row r="210">
      <c r="A210" t="inlineStr" s="26">
        <is>
          <t xml:space="preserve">Closing cash · Closing cash · Conservative · Conservative</t>
        </is>
      </c>
      <c r="B210" s="8">
        <f>IF('Model inputs'!B15="","",'Model inputs'!B15)</f>
        <v>320.458634542143</v>
      </c>
      <c r="C210" s="8">
        <v>0</v>
      </c>
      <c r="D210" s="8">
        <f>IF('Model inputs'!D15="","",'Model inputs'!D15)</f>
        <v>-499.8225</v>
      </c>
      <c r="E210" s="8">
        <f>IF('Model inputs'!E15="","",'Model inputs'!E15)</f>
        <v>-728.226375</v>
      </c>
      <c r="F210" s="8">
        <f>IF('Model inputs'!F15="","",'Model inputs'!F15)</f>
        <v>-888.6021302499998</v>
      </c>
      <c r="G210" s="8">
        <f>IF('Model inputs'!G15="","",'Model inputs'!G15)</f>
        <v>-983.9993410374998</v>
      </c>
      <c r="H210" s="8">
        <f>IF('Model inputs'!H15="","",'Model inputs'!H15)</f>
        <v>-1017.1518363982248</v>
      </c>
      <c r="I210" s="8">
        <f>IF('Model inputs'!I15="","",'Model inputs'!I15)</f>
        <v>-990.5008054094035</v>
      </c>
      <c r="J210" s="8">
        <f>IF('Model inputs'!J15="","",'Model inputs'!J15)</f>
        <v>-906.215990377379</v>
      </c>
      <c r="K210" s="8">
        <f>IF('Model inputs'!K15="","",'Model inputs'!K15)</f>
        <v>-766.2151180299384</v>
      </c>
      <c r="L210" s="8">
        <f>IF('Model inputs'!L15="","",'Model inputs'!L15)</f>
        <v>-572.1817076767754</v>
      </c>
      <c r="M210" s="8">
        <f>IF('Model inputs'!M15="","",'Model inputs'!M15)</f>
        <v>-325.5813841245424</v>
      </c>
      <c r="N210" s="8">
        <f>IF('Model inputs'!N15="","",'Model inputs'!N15)</f>
        <v>-27.676812848345378</v>
      </c>
    </row>
    <row r="211">
      <c r="A211" t="inlineStr" s="26">
        <is>
          <t xml:space="preserve">Closing customers</t>
        </is>
      </c>
      <c r="B211" s="6">
        <f>IF('Model inputs'!B20="","",'Model inputs'!B20)</f>
        <v>0</v>
      </c>
      <c r="C211" s="6">
        <f>IF('Model inputs'!C20="","",'Model inputs'!C20)</f>
        <v>0</v>
      </c>
      <c r="D211" s="6">
        <f>IF('Model inputs'!D20="","",'Model inputs'!D20)</f>
        <v>0</v>
      </c>
      <c r="E211" s="6">
        <f>IF('Model inputs'!E20="","",'Model inputs'!E20)</f>
        <v>0</v>
      </c>
      <c r="F211" s="6">
        <f>IF('Model inputs'!F20="","",'Model inputs'!F20)</f>
        <v>0</v>
      </c>
      <c r="G211" s="6">
        <f>IF('Model inputs'!G20="","",'Model inputs'!G20)</f>
        <v>0</v>
      </c>
      <c r="H211" s="6">
        <f>IF('Model inputs'!H20="","",'Model inputs'!H20)</f>
        <v>0</v>
      </c>
      <c r="I211" s="6">
        <f>IF('Model inputs'!I20="","",'Model inputs'!I20)</f>
        <v>0</v>
      </c>
      <c r="J211" s="6">
        <f>IF('Model inputs'!J20="","",'Model inputs'!J20)</f>
        <v>0</v>
      </c>
      <c r="K211" s="6">
        <f>IF('Model inputs'!K20="","",'Model inputs'!K20)</f>
        <v>0</v>
      </c>
      <c r="L211" s="6">
        <f>IF('Model inputs'!L20="","",'Model inputs'!L20)</f>
        <v>0</v>
      </c>
      <c r="M211" s="6">
        <f>IF('Model inputs'!M20="","",'Model inputs'!M20)</f>
        <v>0</v>
      </c>
      <c r="N211" s="6">
        <f>IF('Model inputs'!N20="","",'Model inputs'!N20)</f>
        <v>0</v>
      </c>
    </row>
    <row r="212" outlineLevel="1">
      <c r="A212" t="inlineStr" s="27">
        <is>
          <t xml:space="preserve">Closing customers &gt; Starter</t>
        </is>
      </c>
      <c r="B212" s="9">
        <f>'Model inputs'!B379+'Model inputs'!B367-'Model inputs'!B305</f>
        <v>0</v>
      </c>
      <c r="C212" s="9">
        <f>'Model inputs'!C18</f>
        <v>0</v>
      </c>
      <c r="D212" s="9">
        <f>'Model inputs'!D379+'Model inputs'!D367-'Model inputs'!D305</f>
        <v>0</v>
      </c>
      <c r="E212" s="9">
        <f>'Model inputs'!E379+'Model inputs'!E367-'Model inputs'!E305</f>
        <v>0</v>
      </c>
      <c r="F212" s="9">
        <f>'Model inputs'!F379+'Model inputs'!F367-'Model inputs'!F305</f>
        <v>0</v>
      </c>
      <c r="G212" s="9">
        <f>'Model inputs'!G379+'Model inputs'!G367-'Model inputs'!G305</f>
        <v>0</v>
      </c>
      <c r="H212" s="9">
        <f>'Model inputs'!H379+'Model inputs'!H367-'Model inputs'!H305</f>
        <v>0</v>
      </c>
      <c r="I212" s="9">
        <f>'Model inputs'!I379+'Model inputs'!I367-'Model inputs'!I305</f>
        <v>0</v>
      </c>
      <c r="J212" s="9">
        <f>'Model inputs'!J379+'Model inputs'!J367-'Model inputs'!J305</f>
        <v>0</v>
      </c>
      <c r="K212" s="9">
        <f>'Model inputs'!K379+'Model inputs'!K367-'Model inputs'!K305</f>
        <v>0</v>
      </c>
      <c r="L212" s="9">
        <f>'Model inputs'!L379+'Model inputs'!L367-'Model inputs'!L305</f>
        <v>0</v>
      </c>
      <c r="M212" s="9">
        <f>'Model inputs'!M379+'Model inputs'!M367-'Model inputs'!M305</f>
        <v>0</v>
      </c>
      <c r="N212" s="9">
        <f>'Model inputs'!N379+'Model inputs'!N367-'Model inputs'!N305</f>
        <v>0</v>
      </c>
    </row>
    <row r="213" outlineLevel="1">
      <c r="A213" t="inlineStr" s="27">
        <is>
          <t xml:space="preserve">Closing customers &gt; Team</t>
        </is>
      </c>
      <c r="B213" s="9">
        <f>'Model inputs'!B380+'Model inputs'!B368-'Model inputs'!B306</f>
        <v>0</v>
      </c>
      <c r="C213" s="9">
        <f>'Model inputs'!C19</f>
        <v>0</v>
      </c>
      <c r="D213" s="9">
        <f>'Model inputs'!D380+'Model inputs'!D368-'Model inputs'!D306</f>
        <v>0</v>
      </c>
      <c r="E213" s="9">
        <f>'Model inputs'!E380+'Model inputs'!E368-'Model inputs'!E306</f>
        <v>0</v>
      </c>
      <c r="F213" s="9">
        <f>'Model inputs'!F380+'Model inputs'!F368-'Model inputs'!F306</f>
        <v>0</v>
      </c>
      <c r="G213" s="9">
        <f>'Model inputs'!G380+'Model inputs'!G368-'Model inputs'!G306</f>
        <v>0</v>
      </c>
      <c r="H213" s="9">
        <f>'Model inputs'!H380+'Model inputs'!H368-'Model inputs'!H306</f>
        <v>0</v>
      </c>
      <c r="I213" s="9">
        <f>'Model inputs'!I380+'Model inputs'!I368-'Model inputs'!I306</f>
        <v>0</v>
      </c>
      <c r="J213" s="9">
        <f>'Model inputs'!J380+'Model inputs'!J368-'Model inputs'!J306</f>
        <v>0</v>
      </c>
      <c r="K213" s="9">
        <f>'Model inputs'!K380+'Model inputs'!K368-'Model inputs'!K306</f>
        <v>0</v>
      </c>
      <c r="L213" s="9">
        <f>'Model inputs'!L380+'Model inputs'!L368-'Model inputs'!L306</f>
        <v>0</v>
      </c>
      <c r="M213" s="9">
        <f>'Model inputs'!M380+'Model inputs'!M368-'Model inputs'!M306</f>
        <v>0</v>
      </c>
      <c r="N213" s="9">
        <f>'Model inputs'!N380+'Model inputs'!N368-'Model inputs'!N306</f>
        <v>0</v>
      </c>
    </row>
    <row r="214">
      <c r="A214" t="inlineStr" s="26">
        <is>
          <t xml:space="preserve">Closing customers</t>
        </is>
      </c>
      <c r="B214" s="6">
        <f>IF('Model inputs'!B21="","",'Model inputs'!B21)</f>
        <v>155.21359148260902</v>
      </c>
      <c r="D214" s="6">
        <f>IF('Model inputs'!D21="","",'Model inputs'!D21)</f>
        <v>6</v>
      </c>
      <c r="E214" s="6">
        <f>IF('Model inputs'!E21="","",'Model inputs'!E21)</f>
        <v>12.72</v>
      </c>
      <c r="F214" s="6">
        <f>IF('Model inputs'!F21="","",'Model inputs'!F21)</f>
        <v>20.2734</v>
      </c>
      <c r="G214" s="6">
        <f>IF('Model inputs'!G21="","",'Model inputs'!G21)</f>
        <v>28.790447999999998</v>
      </c>
      <c r="H214" s="6">
        <f>IF('Model inputs'!H21="","",'Model inputs'!H21)</f>
        <v>38.42077206</v>
      </c>
      <c r="I214" s="6">
        <f>IF('Model inputs'!I21="","",'Model inputs'!I21)</f>
        <v>49.33629202319999</v>
      </c>
      <c r="J214" s="6">
        <f>IF('Model inputs'!J21="","",'Model inputs'!J21)</f>
        <v>61.73456785625399</v>
      </c>
      <c r="K214" s="6">
        <f>IF('Model inputs'!K21="","",'Model inputs'!K21)</f>
        <v>75.84265010337886</v>
      </c>
      <c r="L214" s="6">
        <f>IF('Model inputs'!L21="","",'Model inputs'!L21)</f>
        <v>91.92150777551186</v>
      </c>
      <c r="M214" s="6">
        <f>IF('Model inputs'!M21="","",'Model inputs'!M21)</f>
        <v>110.27112029376602</v>
      </c>
      <c r="N214" s="6">
        <f>IF('Model inputs'!N21="","",'Model inputs'!N21)</f>
        <v>131.23633309920046</v>
      </c>
    </row>
    <row r="215" outlineLevel="1">
      <c r="A215" t="inlineStr" s="27">
        <is>
          <t xml:space="preserve">Closing customers &gt; Starter</t>
        </is>
      </c>
      <c r="B215" s="9">
        <f>'Model inputs'!B382+'Model inputs'!B370-'Model inputs'!B308</f>
        <v>103.47572765507267</v>
      </c>
      <c r="D215" s="9">
        <f>'Model inputs'!D382+'Model inputs'!D370-'Model inputs'!D308</f>
        <v>4</v>
      </c>
      <c r="E215" s="9">
        <f>'Model inputs'!E382+'Model inputs'!E370-'Model inputs'!E308</f>
        <v>8.48</v>
      </c>
      <c r="F215" s="9">
        <f>'Model inputs'!F382+'Model inputs'!F370-'Model inputs'!F308</f>
        <v>13.5156</v>
      </c>
      <c r="G215" s="9">
        <f>'Model inputs'!G382+'Model inputs'!G370-'Model inputs'!G308</f>
        <v>19.193631999999997</v>
      </c>
      <c r="H215" s="9">
        <f>'Model inputs'!H382+'Model inputs'!H370-'Model inputs'!H308</f>
        <v>25.613848039999997</v>
      </c>
      <c r="I215" s="9">
        <f>'Model inputs'!I382+'Model inputs'!I370-'Model inputs'!I308</f>
        <v>32.890861348799994</v>
      </c>
      <c r="J215" s="9">
        <f>'Model inputs'!J382+'Model inputs'!J370-'Model inputs'!J308</f>
        <v>41.15637857083599</v>
      </c>
      <c r="K215" s="9">
        <f>'Model inputs'!K382+'Model inputs'!K370-'Model inputs'!K308</f>
        <v>50.561766735585906</v>
      </c>
      <c r="L215" s="9">
        <f>'Model inputs'!L382+'Model inputs'!L370-'Model inputs'!L308</f>
        <v>61.28100518367457</v>
      </c>
      <c r="M215" s="9">
        <f>'Model inputs'!M382+'Model inputs'!M370-'Model inputs'!M308</f>
        <v>73.51408019584402</v>
      </c>
      <c r="N215" s="9">
        <f>'Model inputs'!N382+'Model inputs'!N370-'Model inputs'!N308</f>
        <v>87.49088873280031</v>
      </c>
    </row>
    <row r="216" outlineLevel="1">
      <c r="A216" t="inlineStr" s="27">
        <is>
          <t xml:space="preserve">Closing customers &gt; Team</t>
        </is>
      </c>
      <c r="B216" s="9">
        <f>'Model inputs'!B383+'Model inputs'!B371-'Model inputs'!B309</f>
        <v>51.73786382753634</v>
      </c>
      <c r="D216" s="9">
        <f>'Model inputs'!D383+'Model inputs'!D371-'Model inputs'!D309</f>
        <v>2</v>
      </c>
      <c r="E216" s="9">
        <f>'Model inputs'!E383+'Model inputs'!E371-'Model inputs'!E309</f>
        <v>4.24</v>
      </c>
      <c r="F216" s="9">
        <f>'Model inputs'!F383+'Model inputs'!F371-'Model inputs'!F309</f>
        <v>6.7578</v>
      </c>
      <c r="G216" s="9">
        <f>'Model inputs'!G383+'Model inputs'!G371-'Model inputs'!G309</f>
        <v>9.596815999999999</v>
      </c>
      <c r="H216" s="9">
        <f>'Model inputs'!H383+'Model inputs'!H371-'Model inputs'!H309</f>
        <v>12.806924019999999</v>
      </c>
      <c r="I216" s="9">
        <f>'Model inputs'!I383+'Model inputs'!I371-'Model inputs'!I309</f>
        <v>16.445430674399997</v>
      </c>
      <c r="J216" s="9">
        <f>'Model inputs'!J383+'Model inputs'!J371-'Model inputs'!J309</f>
        <v>20.578189285417995</v>
      </c>
      <c r="K216" s="9">
        <f>'Model inputs'!K383+'Model inputs'!K371-'Model inputs'!K309</f>
        <v>25.280883367792953</v>
      </c>
      <c r="L216" s="9">
        <f>'Model inputs'!L383+'Model inputs'!L371-'Model inputs'!L309</f>
        <v>30.640502591837286</v>
      </c>
      <c r="M216" s="9">
        <f>'Model inputs'!M383+'Model inputs'!M371-'Model inputs'!M309</f>
        <v>36.75704009792201</v>
      </c>
      <c r="N216" s="9">
        <f>'Model inputs'!N383+'Model inputs'!N371-'Model inputs'!N309</f>
        <v>43.74544436640016</v>
      </c>
    </row>
    <row r="217">
      <c r="A217" t="inlineStr" s="26">
        <is>
          <t xml:space="preserve">Closing customers</t>
        </is>
      </c>
      <c r="B217" s="6">
        <f>IF('Model inputs'!B22="","",'Model inputs'!B22)</f>
        <v>51.96136578116731</v>
      </c>
      <c r="C217" s="6">
        <f>IF('Model inputs'!C22="","",'Model inputs'!C22)</f>
        <v>0</v>
      </c>
      <c r="D217" s="6">
        <f>IF('Model inputs'!D22="","",'Model inputs'!D22)</f>
        <v>3</v>
      </c>
      <c r="E217" s="6">
        <f>IF('Model inputs'!E22="","",'Model inputs'!E22)</f>
        <v>6.15</v>
      </c>
      <c r="F217" s="6">
        <f>IF('Model inputs'!F22="","",'Model inputs'!F22)</f>
        <v>9.472500000000002</v>
      </c>
      <c r="G217" s="6">
        <f>IF('Model inputs'!G22="","",'Model inputs'!G22)</f>
        <v>12.991875000000004</v>
      </c>
      <c r="H217" s="6">
        <f>IF('Model inputs'!H22="","",'Model inputs'!H22)</f>
        <v>16.734581250000005</v>
      </c>
      <c r="I217" s="6">
        <f>IF('Model inputs'!I22="","",'Model inputs'!I22)</f>
        <v>20.729382187500008</v>
      </c>
      <c r="J217" s="6">
        <f>IF('Model inputs'!J22="","",'Model inputs'!J22)</f>
        <v>25.007596078125008</v>
      </c>
      <c r="K217" s="6">
        <f>IF('Model inputs'!K22="","",'Model inputs'!K22)</f>
        <v>29.603367574218765</v>
      </c>
      <c r="L217" s="6">
        <f>IF('Model inputs'!L22="","",'Model inputs'!L22)</f>
        <v>34.55396562550783</v>
      </c>
      <c r="M217" s="6">
        <f>IF('Model inputs'!M22="","",'Model inputs'!M22)</f>
        <v>39.90011041723245</v>
      </c>
      <c r="N217" s="6">
        <f>IF('Model inputs'!N22="","",'Model inputs'!N22)</f>
        <v>45.68633227667084</v>
      </c>
    </row>
    <row r="218" outlineLevel="1">
      <c r="A218" t="inlineStr" s="27">
        <is>
          <t xml:space="preserve">Closing customers &gt; Starter</t>
        </is>
      </c>
      <c r="B218" s="9">
        <f>'Model inputs'!B385+'Model inputs'!B373-'Model inputs'!B311</f>
        <v>34.640910520778206</v>
      </c>
      <c r="C218" s="9">
        <f>'Model inputs'!C18</f>
        <v>0</v>
      </c>
      <c r="D218" s="9">
        <f>'Model inputs'!D385+'Model inputs'!D373-'Model inputs'!D311</f>
        <v>2</v>
      </c>
      <c r="E218" s="9">
        <f>'Model inputs'!E385+'Model inputs'!E373-'Model inputs'!E311</f>
        <v>4.1000000000000005</v>
      </c>
      <c r="F218" s="9">
        <f>'Model inputs'!F385+'Model inputs'!F373-'Model inputs'!F311</f>
        <v>6.315000000000001</v>
      </c>
      <c r="G218" s="9">
        <f>'Model inputs'!G385+'Model inputs'!G373-'Model inputs'!G311</f>
        <v>8.661250000000003</v>
      </c>
      <c r="H218" s="9">
        <f>'Model inputs'!H385+'Model inputs'!H373-'Model inputs'!H311</f>
        <v>11.156387500000003</v>
      </c>
      <c r="I218" s="9">
        <f>'Model inputs'!I385+'Model inputs'!I373-'Model inputs'!I311</f>
        <v>13.819588125000005</v>
      </c>
      <c r="J218" s="9">
        <f>'Model inputs'!J385+'Model inputs'!J373-'Model inputs'!J311</f>
        <v>16.671730718750005</v>
      </c>
      <c r="K218" s="9">
        <f>'Model inputs'!K385+'Model inputs'!K373-'Model inputs'!K311</f>
        <v>19.73557838281251</v>
      </c>
      <c r="L218" s="9">
        <f>'Model inputs'!L385+'Model inputs'!L373-'Model inputs'!L311</f>
        <v>23.035977083671888</v>
      </c>
      <c r="M218" s="9">
        <f>'Model inputs'!M385+'Model inputs'!M373-'Model inputs'!M311</f>
        <v>26.6000736114883</v>
      </c>
      <c r="N218" s="9">
        <f>'Model inputs'!N385+'Model inputs'!N373-'Model inputs'!N311</f>
        <v>30.45755485111389</v>
      </c>
    </row>
    <row r="219" outlineLevel="1">
      <c r="A219" t="inlineStr" s="27">
        <is>
          <t xml:space="preserve">Closing customers &gt; Team</t>
        </is>
      </c>
      <c r="B219" s="9">
        <f>'Model inputs'!B386+'Model inputs'!B374-'Model inputs'!B312</f>
        <v>17.320455260389103</v>
      </c>
      <c r="C219" s="9">
        <f>'Model inputs'!C19</f>
        <v>0</v>
      </c>
      <c r="D219" s="9">
        <f>'Model inputs'!D386+'Model inputs'!D374-'Model inputs'!D312</f>
        <v>1</v>
      </c>
      <c r="E219" s="9">
        <f>'Model inputs'!E386+'Model inputs'!E374-'Model inputs'!E312</f>
        <v>2.0500000000000003</v>
      </c>
      <c r="F219" s="9">
        <f>'Model inputs'!F386+'Model inputs'!F374-'Model inputs'!F312</f>
        <v>3.1575000000000006</v>
      </c>
      <c r="G219" s="9">
        <f>'Model inputs'!G386+'Model inputs'!G374-'Model inputs'!G312</f>
        <v>4.330625000000001</v>
      </c>
      <c r="H219" s="9">
        <f>'Model inputs'!H386+'Model inputs'!H374-'Model inputs'!H312</f>
        <v>5.578193750000001</v>
      </c>
      <c r="I219" s="9">
        <f>'Model inputs'!I386+'Model inputs'!I374-'Model inputs'!I312</f>
        <v>6.909794062500002</v>
      </c>
      <c r="J219" s="9">
        <f>'Model inputs'!J386+'Model inputs'!J374-'Model inputs'!J312</f>
        <v>8.335865359375003</v>
      </c>
      <c r="K219" s="9">
        <f>'Model inputs'!K386+'Model inputs'!K374-'Model inputs'!K312</f>
        <v>9.867789191406255</v>
      </c>
      <c r="L219" s="9">
        <f>'Model inputs'!L386+'Model inputs'!L374-'Model inputs'!L312</f>
        <v>11.517988541835944</v>
      </c>
      <c r="M219" s="9">
        <f>'Model inputs'!M386+'Model inputs'!M374-'Model inputs'!M312</f>
        <v>13.30003680574415</v>
      </c>
      <c r="N219" s="9">
        <f>'Model inputs'!N386+'Model inputs'!N374-'Model inputs'!N312</f>
        <v>15.228777425556945</v>
      </c>
    </row>
    <row r="220">
      <c r="A220" t="inlineStr" s="26">
        <is>
          <t xml:space="preserve">Closing customers</t>
        </is>
      </c>
      <c r="B220" s="6">
        <f>IF('Model inputs'!B23="","",'Model inputs'!B23)</f>
        <v>12.023801127173828</v>
      </c>
      <c r="D220" s="6">
        <f>IF('Model inputs'!D23="","",'Model inputs'!D23)</f>
        <v>1.25</v>
      </c>
      <c r="E220" s="6">
        <f>IF('Model inputs'!E23="","",'Model inputs'!E23)</f>
        <v>2.4375</v>
      </c>
      <c r="F220" s="6">
        <f>IF('Model inputs'!F23="","",'Model inputs'!F23)</f>
        <v>3.5686250000000004</v>
      </c>
      <c r="G220" s="6">
        <f>IF('Model inputs'!G23="","",'Model inputs'!G23)</f>
        <v>4.649043750000001</v>
      </c>
      <c r="H220" s="6">
        <f>IF('Model inputs'!H23="","",'Model inputs'!H23)</f>
        <v>5.6840062625000005</v>
      </c>
      <c r="I220" s="6">
        <f>IF('Model inputs'!I23="","",'Model inputs'!I23)</f>
        <v>6.678378354375001</v>
      </c>
      <c r="J220" s="6">
        <f>IF('Model inputs'!J23="","",'Model inputs'!J23)</f>
        <v>7.636673456686251</v>
      </c>
      <c r="K220" s="6">
        <f>IF('Model inputs'!K23="","",'Model inputs'!K23)</f>
        <v>8.563081911932438</v>
      </c>
      <c r="L220" s="6">
        <f>IF('Model inputs'!L23="","",'Model inputs'!L23)</f>
        <v>9.461497960712363</v>
      </c>
      <c r="M220" s="6">
        <f>IF('Model inputs'!M23="","",'Model inputs'!M23)</f>
        <v>10.335544603641932</v>
      </c>
      <c r="N220" s="6">
        <f>IF('Model inputs'!N23="","",'Model inputs'!N23)</f>
        <v>11.18859650953073</v>
      </c>
    </row>
    <row r="221" outlineLevel="1">
      <c r="A221" t="inlineStr" s="27">
        <is>
          <t xml:space="preserve">Closing customers &gt; Starter</t>
        </is>
      </c>
      <c r="B221" s="9">
        <f>'Model inputs'!B388+'Model inputs'!B376-'Model inputs'!B314</f>
        <v>9.619040901739062</v>
      </c>
      <c r="D221" s="9">
        <f>'Model inputs'!D388+'Model inputs'!D376-'Model inputs'!D314</f>
        <v>1</v>
      </c>
      <c r="E221" s="9">
        <f>'Model inputs'!E388+'Model inputs'!E376-'Model inputs'!E314</f>
        <v>1.9500000000000002</v>
      </c>
      <c r="F221" s="9">
        <f>'Model inputs'!F388+'Model inputs'!F376-'Model inputs'!F314</f>
        <v>2.8549</v>
      </c>
      <c r="G221" s="9">
        <f>'Model inputs'!G388+'Model inputs'!G376-'Model inputs'!G314</f>
        <v>3.7192350000000003</v>
      </c>
      <c r="H221" s="9">
        <f>'Model inputs'!H388+'Model inputs'!H376-'Model inputs'!H314</f>
        <v>4.547205010000001</v>
      </c>
      <c r="I221" s="9">
        <f>'Model inputs'!I388+'Model inputs'!I376-'Model inputs'!I314</f>
        <v>5.342702683500001</v>
      </c>
      <c r="J221" s="9">
        <f>'Model inputs'!J388+'Model inputs'!J376-'Model inputs'!J314</f>
        <v>6.109338765349</v>
      </c>
      <c r="K221" s="9">
        <f>'Model inputs'!K388+'Model inputs'!K376-'Model inputs'!K314</f>
        <v>6.85046552954595</v>
      </c>
      <c r="L221" s="9">
        <f>'Model inputs'!L388+'Model inputs'!L376-'Model inputs'!L314</f>
        <v>7.56919836856989</v>
      </c>
      <c r="M221" s="9">
        <f>'Model inputs'!M388+'Model inputs'!M376-'Model inputs'!M314</f>
        <v>8.268435682913545</v>
      </c>
      <c r="N221" s="9">
        <f>'Model inputs'!N388+'Model inputs'!N376-'Model inputs'!N314</f>
        <v>8.950877207624583</v>
      </c>
    </row>
    <row r="222" outlineLevel="1">
      <c r="A222" t="inlineStr" s="27">
        <is>
          <t xml:space="preserve">Closing customers &gt; Team</t>
        </is>
      </c>
      <c r="B222" s="9">
        <f>'Model inputs'!B389+'Model inputs'!B377-'Model inputs'!B315</f>
        <v>2.4047602254347655</v>
      </c>
      <c r="D222" s="9">
        <f>'Model inputs'!D389+'Model inputs'!D377-'Model inputs'!D315</f>
        <v>0.25</v>
      </c>
      <c r="E222" s="9">
        <f>'Model inputs'!E389+'Model inputs'!E377-'Model inputs'!E315</f>
        <v>0.48750000000000004</v>
      </c>
      <c r="F222" s="9">
        <f>'Model inputs'!F389+'Model inputs'!F377-'Model inputs'!F315</f>
        <v>0.713725</v>
      </c>
      <c r="G222" s="9">
        <f>'Model inputs'!G389+'Model inputs'!G377-'Model inputs'!G315</f>
        <v>0.9298087500000001</v>
      </c>
      <c r="H222" s="9">
        <f>'Model inputs'!H389+'Model inputs'!H377-'Model inputs'!H315</f>
        <v>1.1368012525000002</v>
      </c>
      <c r="I222" s="9">
        <f>'Model inputs'!I389+'Model inputs'!I377-'Model inputs'!I315</f>
        <v>1.3356756708750002</v>
      </c>
      <c r="J222" s="9">
        <f>'Model inputs'!J389+'Model inputs'!J377-'Model inputs'!J315</f>
        <v>1.52733469133725</v>
      </c>
      <c r="K222" s="9">
        <f>'Model inputs'!K389+'Model inputs'!K377-'Model inputs'!K315</f>
        <v>1.7126163823864875</v>
      </c>
      <c r="L222" s="9">
        <f>'Model inputs'!L389+'Model inputs'!L377-'Model inputs'!L315</f>
        <v>1.8922995921424726</v>
      </c>
      <c r="M222" s="9">
        <f>'Model inputs'!M389+'Model inputs'!M377-'Model inputs'!M315</f>
        <v>2.067108920728386</v>
      </c>
      <c r="N222" s="9">
        <f>'Model inputs'!N389+'Model inputs'!N377-'Model inputs'!N315</f>
        <v>2.2377193019061457</v>
      </c>
    </row>
    <row r="223">
      <c r="A223" t="inlineStr" s="26">
        <is>
          <t xml:space="preserve">Contribution per customer · Break-even customers · Bootstrap no-sales stress — hypothetical · Bootstrap no-sales stress — hypothetical</t>
        </is>
      </c>
      <c r="B223" t="str" s="8">
        <f>IFERROR('Model inputs'!B316/'Model inputs'!B20,"")</f>
        <v/>
      </c>
    </row>
    <row r="224">
      <c r="A224" t="inlineStr" s="26">
        <is>
          <t xml:space="preserve">Contribution per customer · Break-even customers · Growth · Growth</t>
        </is>
      </c>
      <c r="B224" s="8">
        <f>IFERROR('Model inputs'!B317/'Model inputs'!B21,"")</f>
        <v>74.19</v>
      </c>
    </row>
    <row r="225">
      <c r="A225" t="inlineStr" s="26">
        <is>
          <t xml:space="preserve">Contribution per customer · Break-even customers · Bootstrap $5,000 — hypothetical · Bootstrap $5,000 — hypothetical</t>
        </is>
      </c>
      <c r="B225" s="8">
        <f>IFERROR('Model inputs'!B318/'Model inputs'!B22,"")</f>
        <v>74.18999999999998</v>
      </c>
    </row>
    <row r="226">
      <c r="A226" t="inlineStr" s="26">
        <is>
          <t xml:space="preserve">Contribution per customer · Break-even customers · Conservative · Conservative</t>
        </is>
      </c>
      <c r="B226" s="8">
        <f>IFERROR('Model inputs'!B319/'Model inputs'!B23,"")</f>
        <v>60.141999999999996</v>
      </c>
    </row>
    <row r="227">
      <c r="A227" t="inlineStr" s="26">
        <is>
          <t xml:space="preserve">Fixed delivery costs · Break-even customers · Bootstrap no-sales stress — hypothetical · Bootstrap no-sales stress — hypothetical</t>
        </is>
      </c>
      <c r="B227" s="8">
        <f>'Model inputs'!O344+'Model inputs'!O340+'Model inputs'!O348+'Model inputs'!O362</f>
        <v>225</v>
      </c>
      <c r="C227" s="8">
        <v>0</v>
      </c>
      <c r="D227" s="8">
        <f>'Model inputs'!O344+'Model inputs'!O340+'Model inputs'!O348+'Model inputs'!O362</f>
        <v>225</v>
      </c>
      <c r="E227" s="8">
        <f>'Model inputs'!O344+'Model inputs'!O340+'Model inputs'!O348+'Model inputs'!O362</f>
        <v>225</v>
      </c>
      <c r="F227" s="8">
        <f>'Model inputs'!O344+'Model inputs'!O340+'Model inputs'!O348+'Model inputs'!O362</f>
        <v>225</v>
      </c>
      <c r="G227" s="8">
        <f>'Model inputs'!O344+'Model inputs'!O340+'Model inputs'!O348+'Model inputs'!O362</f>
        <v>225</v>
      </c>
      <c r="H227" s="8">
        <f>'Model inputs'!O344+'Model inputs'!O340+'Model inputs'!O348+'Model inputs'!O362</f>
        <v>225</v>
      </c>
      <c r="I227" s="8">
        <f>'Model inputs'!O344+'Model inputs'!O340+'Model inputs'!O348+'Model inputs'!O362</f>
        <v>225</v>
      </c>
      <c r="J227" s="8">
        <f>'Model inputs'!O344+'Model inputs'!O340+'Model inputs'!O348+'Model inputs'!O362</f>
        <v>225</v>
      </c>
      <c r="K227" s="8">
        <f>'Model inputs'!O344+'Model inputs'!O340+'Model inputs'!O348+'Model inputs'!O362</f>
        <v>225</v>
      </c>
      <c r="L227" s="8">
        <f>'Model inputs'!O344+'Model inputs'!O340+'Model inputs'!O348+'Model inputs'!O362</f>
        <v>225</v>
      </c>
      <c r="M227" s="8">
        <f>'Model inputs'!O344+'Model inputs'!O340+'Model inputs'!O348+'Model inputs'!O362</f>
        <v>225</v>
      </c>
      <c r="N227" s="8">
        <f>'Model inputs'!O344+'Model inputs'!O340+'Model inputs'!O348+'Model inputs'!O362</f>
        <v>225</v>
      </c>
    </row>
    <row r="228">
      <c r="A228" t="inlineStr" s="26">
        <is>
          <t xml:space="preserve">Fixed delivery costs · Break-even customers · Growth · Growth</t>
        </is>
      </c>
      <c r="B228" s="8">
        <f>'Model inputs'!O345+'Model inputs'!O341+'Model inputs'!O349+'Model inputs'!O363</f>
        <v>225</v>
      </c>
      <c r="C228" s="8">
        <v>0</v>
      </c>
      <c r="D228" s="8">
        <f>'Model inputs'!O345+'Model inputs'!O341+'Model inputs'!O349+'Model inputs'!O363</f>
        <v>225</v>
      </c>
      <c r="E228" s="8">
        <f>'Model inputs'!O345+'Model inputs'!O341+'Model inputs'!O349+'Model inputs'!O363</f>
        <v>225</v>
      </c>
      <c r="F228" s="8">
        <f>'Model inputs'!O345+'Model inputs'!O341+'Model inputs'!O349+'Model inputs'!O363</f>
        <v>225</v>
      </c>
      <c r="G228" s="8">
        <f>'Model inputs'!O345+'Model inputs'!O341+'Model inputs'!O349+'Model inputs'!O363</f>
        <v>225</v>
      </c>
      <c r="H228" s="8">
        <f>'Model inputs'!O345+'Model inputs'!O341+'Model inputs'!O349+'Model inputs'!O363</f>
        <v>225</v>
      </c>
      <c r="I228" s="8">
        <f>'Model inputs'!O345+'Model inputs'!O341+'Model inputs'!O349+'Model inputs'!O363</f>
        <v>225</v>
      </c>
      <c r="J228" s="8">
        <f>'Model inputs'!O345+'Model inputs'!O341+'Model inputs'!O349+'Model inputs'!O363</f>
        <v>225</v>
      </c>
      <c r="K228" s="8">
        <f>'Model inputs'!O345+'Model inputs'!O341+'Model inputs'!O349+'Model inputs'!O363</f>
        <v>225</v>
      </c>
      <c r="L228" s="8">
        <f>'Model inputs'!O345+'Model inputs'!O341+'Model inputs'!O349+'Model inputs'!O363</f>
        <v>225</v>
      </c>
      <c r="M228" s="8">
        <f>'Model inputs'!O345+'Model inputs'!O341+'Model inputs'!O349+'Model inputs'!O363</f>
        <v>225</v>
      </c>
      <c r="N228" s="8">
        <f>'Model inputs'!O345+'Model inputs'!O341+'Model inputs'!O349+'Model inputs'!O363</f>
        <v>225</v>
      </c>
    </row>
    <row r="229">
      <c r="A229" t="inlineStr" s="26">
        <is>
          <t xml:space="preserve">Fixed delivery costs · Break-even customers · Bootstrap $5,000 — hypothetical · Bootstrap $5,000 — hypothetical</t>
        </is>
      </c>
      <c r="B229" s="8">
        <f>'Model inputs'!O346+'Model inputs'!O342+'Model inputs'!O350+'Model inputs'!O364</f>
        <v>225</v>
      </c>
      <c r="C229" s="8">
        <v>0</v>
      </c>
      <c r="D229" s="8">
        <f>'Model inputs'!O346+'Model inputs'!O342+'Model inputs'!O350+'Model inputs'!O364</f>
        <v>225</v>
      </c>
      <c r="E229" s="8">
        <f>'Model inputs'!O346+'Model inputs'!O342+'Model inputs'!O350+'Model inputs'!O364</f>
        <v>225</v>
      </c>
      <c r="F229" s="8">
        <f>'Model inputs'!O346+'Model inputs'!O342+'Model inputs'!O350+'Model inputs'!O364</f>
        <v>225</v>
      </c>
      <c r="G229" s="8">
        <f>'Model inputs'!O346+'Model inputs'!O342+'Model inputs'!O350+'Model inputs'!O364</f>
        <v>225</v>
      </c>
      <c r="H229" s="8">
        <f>'Model inputs'!O346+'Model inputs'!O342+'Model inputs'!O350+'Model inputs'!O364</f>
        <v>225</v>
      </c>
      <c r="I229" s="8">
        <f>'Model inputs'!O346+'Model inputs'!O342+'Model inputs'!O350+'Model inputs'!O364</f>
        <v>225</v>
      </c>
      <c r="J229" s="8">
        <f>'Model inputs'!O346+'Model inputs'!O342+'Model inputs'!O350+'Model inputs'!O364</f>
        <v>225</v>
      </c>
      <c r="K229" s="8">
        <f>'Model inputs'!O346+'Model inputs'!O342+'Model inputs'!O350+'Model inputs'!O364</f>
        <v>225</v>
      </c>
      <c r="L229" s="8">
        <f>'Model inputs'!O346+'Model inputs'!O342+'Model inputs'!O350+'Model inputs'!O364</f>
        <v>225</v>
      </c>
      <c r="M229" s="8">
        <f>'Model inputs'!O346+'Model inputs'!O342+'Model inputs'!O350+'Model inputs'!O364</f>
        <v>225</v>
      </c>
      <c r="N229" s="8">
        <f>'Model inputs'!O346+'Model inputs'!O342+'Model inputs'!O350+'Model inputs'!O364</f>
        <v>225</v>
      </c>
    </row>
    <row r="230">
      <c r="A230" t="inlineStr" s="26">
        <is>
          <t xml:space="preserve">Fixed delivery costs · Break-even customers · Conservative · Conservative</t>
        </is>
      </c>
      <c r="B230" s="8">
        <f>'Model inputs'!O347+'Model inputs'!O343+'Model inputs'!O351+'Model inputs'!O365</f>
        <v>225</v>
      </c>
      <c r="C230" s="8">
        <v>0</v>
      </c>
      <c r="D230" s="8">
        <f>'Model inputs'!O347+'Model inputs'!O343+'Model inputs'!O351+'Model inputs'!O365</f>
        <v>225</v>
      </c>
      <c r="E230" s="8">
        <f>'Model inputs'!O347+'Model inputs'!O343+'Model inputs'!O351+'Model inputs'!O365</f>
        <v>225</v>
      </c>
      <c r="F230" s="8">
        <f>'Model inputs'!O347+'Model inputs'!O343+'Model inputs'!O351+'Model inputs'!O365</f>
        <v>225</v>
      </c>
      <c r="G230" s="8">
        <f>'Model inputs'!O347+'Model inputs'!O343+'Model inputs'!O351+'Model inputs'!O365</f>
        <v>225</v>
      </c>
      <c r="H230" s="8">
        <f>'Model inputs'!O347+'Model inputs'!O343+'Model inputs'!O351+'Model inputs'!O365</f>
        <v>225</v>
      </c>
      <c r="I230" s="8">
        <f>'Model inputs'!O347+'Model inputs'!O343+'Model inputs'!O351+'Model inputs'!O365</f>
        <v>225</v>
      </c>
      <c r="J230" s="8">
        <f>'Model inputs'!O347+'Model inputs'!O343+'Model inputs'!O351+'Model inputs'!O365</f>
        <v>225</v>
      </c>
      <c r="K230" s="8">
        <f>'Model inputs'!O347+'Model inputs'!O343+'Model inputs'!O351+'Model inputs'!O365</f>
        <v>225</v>
      </c>
      <c r="L230" s="8">
        <f>'Model inputs'!O347+'Model inputs'!O343+'Model inputs'!O351+'Model inputs'!O365</f>
        <v>225</v>
      </c>
      <c r="M230" s="8">
        <f>'Model inputs'!O347+'Model inputs'!O343+'Model inputs'!O351+'Model inputs'!O365</f>
        <v>225</v>
      </c>
      <c r="N230" s="8">
        <f>'Model inputs'!O347+'Model inputs'!O343+'Model inputs'!O351+'Model inputs'!O365</f>
        <v>225</v>
      </c>
    </row>
    <row r="231">
      <c r="A231" t="inlineStr" s="26">
        <is>
          <t xml:space="preserve">Founder pay · NeatRescue — Cash &amp; scenarios · Monthly cash — actual-zero and hypothetical bootstrap cases · Bootstrap no-sales stress — hypothetical</t>
        </is>
      </c>
      <c r="B231" s="8">
        <f>IF('Model inputs'!O322="","",'Model inputs'!O322)</f>
        <v>0</v>
      </c>
      <c r="C231" s="8">
        <v>0</v>
      </c>
      <c r="D231" s="8">
        <f>IF('Model inputs'!O322="","",'Model inputs'!O322)</f>
        <v>0</v>
      </c>
      <c r="E231" s="8">
        <f>IF('Model inputs'!O322="","",'Model inputs'!O322)</f>
        <v>0</v>
      </c>
      <c r="F231" s="8">
        <f>IF('Model inputs'!O322="","",'Model inputs'!O322)</f>
        <v>0</v>
      </c>
      <c r="G231" s="8">
        <f>IF('Model inputs'!O322="","",'Model inputs'!O322)</f>
        <v>0</v>
      </c>
      <c r="H231" s="8">
        <f>IF('Model inputs'!O322="","",'Model inputs'!O322)</f>
        <v>0</v>
      </c>
      <c r="I231" s="8">
        <f>IF('Model inputs'!O322="","",'Model inputs'!O322)</f>
        <v>0</v>
      </c>
      <c r="J231" s="8">
        <f>IF('Model inputs'!O322="","",'Model inputs'!O322)</f>
        <v>0</v>
      </c>
      <c r="K231" s="8">
        <f>IF('Model inputs'!O322="","",'Model inputs'!O322)</f>
        <v>0</v>
      </c>
      <c r="L231" s="8">
        <f>IF('Model inputs'!O322="","",'Model inputs'!O322)</f>
        <v>0</v>
      </c>
      <c r="M231" s="8">
        <f>IF('Model inputs'!O322="","",'Model inputs'!O322)</f>
        <v>0</v>
      </c>
      <c r="N231" s="8">
        <f>IF('Model inputs'!O322="","",'Model inputs'!O322)</f>
        <v>0</v>
      </c>
    </row>
    <row r="232">
      <c r="A232" t="inlineStr" s="26">
        <is>
          <t xml:space="preserve">Founder pay · Break-even customers · Growth · Growth</t>
        </is>
      </c>
      <c r="B232" s="8">
        <f>IF('Model inputs'!O323="","",'Model inputs'!O323)</f>
        <v>0</v>
      </c>
      <c r="C232" s="8">
        <v>0</v>
      </c>
      <c r="D232" s="8">
        <f>IF('Model inputs'!O323="","",'Model inputs'!O323)</f>
        <v>0</v>
      </c>
      <c r="E232" s="8">
        <f>IF('Model inputs'!O323="","",'Model inputs'!O323)</f>
        <v>0</v>
      </c>
      <c r="F232" s="8">
        <f>IF('Model inputs'!O323="","",'Model inputs'!O323)</f>
        <v>0</v>
      </c>
      <c r="G232" s="8">
        <f>IF('Model inputs'!O323="","",'Model inputs'!O323)</f>
        <v>0</v>
      </c>
      <c r="H232" s="8">
        <f>IF('Model inputs'!O323="","",'Model inputs'!O323)</f>
        <v>0</v>
      </c>
      <c r="I232" s="8">
        <f>IF('Model inputs'!O323="","",'Model inputs'!O323)</f>
        <v>0</v>
      </c>
      <c r="J232" s="8">
        <f>IF('Model inputs'!O323="","",'Model inputs'!O323)</f>
        <v>0</v>
      </c>
      <c r="K232" s="8">
        <f>IF('Model inputs'!O323="","",'Model inputs'!O323)</f>
        <v>0</v>
      </c>
      <c r="L232" s="8">
        <f>IF('Model inputs'!O323="","",'Model inputs'!O323)</f>
        <v>0</v>
      </c>
      <c r="M232" s="8">
        <f>IF('Model inputs'!O323="","",'Model inputs'!O323)</f>
        <v>0</v>
      </c>
      <c r="N232" s="8">
        <f>IF('Model inputs'!O323="","",'Model inputs'!O323)</f>
        <v>0</v>
      </c>
    </row>
    <row r="233">
      <c r="A233" t="inlineStr" s="26">
        <is>
          <t xml:space="preserve">Founder pay · NeatRescue — Cash &amp; scenarios · Monthly cash — actual-zero and hypothetical bootstrap cases · Bootstrap $5,000 — hypothetical</t>
        </is>
      </c>
      <c r="B233" s="8">
        <f>IF('Model inputs'!O324="","",'Model inputs'!O324)</f>
        <v>0</v>
      </c>
      <c r="C233" s="8">
        <v>0</v>
      </c>
      <c r="D233" s="8">
        <f>IF('Model inputs'!O324="","",'Model inputs'!O324)</f>
        <v>0</v>
      </c>
      <c r="E233" s="8">
        <f>IF('Model inputs'!O324="","",'Model inputs'!O324)</f>
        <v>0</v>
      </c>
      <c r="F233" s="8">
        <f>IF('Model inputs'!O324="","",'Model inputs'!O324)</f>
        <v>0</v>
      </c>
      <c r="G233" s="8">
        <f>IF('Model inputs'!O324="","",'Model inputs'!O324)</f>
        <v>0</v>
      </c>
      <c r="H233" s="8">
        <f>IF('Model inputs'!O324="","",'Model inputs'!O324)</f>
        <v>0</v>
      </c>
      <c r="I233" s="8">
        <f>IF('Model inputs'!O324="","",'Model inputs'!O324)</f>
        <v>0</v>
      </c>
      <c r="J233" s="8">
        <f>IF('Model inputs'!O324="","",'Model inputs'!O324)</f>
        <v>0</v>
      </c>
      <c r="K233" s="8">
        <f>IF('Model inputs'!O324="","",'Model inputs'!O324)</f>
        <v>0</v>
      </c>
      <c r="L233" s="8">
        <f>IF('Model inputs'!O324="","",'Model inputs'!O324)</f>
        <v>0</v>
      </c>
      <c r="M233" s="8">
        <f>IF('Model inputs'!O324="","",'Model inputs'!O324)</f>
        <v>0</v>
      </c>
      <c r="N233" s="8">
        <f>IF('Model inputs'!O324="","",'Model inputs'!O324)</f>
        <v>0</v>
      </c>
    </row>
    <row r="234">
      <c r="A234" t="inlineStr" s="26">
        <is>
          <t xml:space="preserve">Founder pay · Break-even customers · Conservative · Conservative</t>
        </is>
      </c>
      <c r="B234" s="8">
        <f>IF('Model inputs'!O325="","",'Model inputs'!O325)</f>
        <v>0</v>
      </c>
      <c r="C234" s="8">
        <v>0</v>
      </c>
      <c r="D234" s="8">
        <f>IF('Model inputs'!O325="","",'Model inputs'!O325)</f>
        <v>0</v>
      </c>
      <c r="E234" s="8">
        <f>IF('Model inputs'!O325="","",'Model inputs'!O325)</f>
        <v>0</v>
      </c>
      <c r="F234" s="8">
        <f>IF('Model inputs'!O325="","",'Model inputs'!O325)</f>
        <v>0</v>
      </c>
      <c r="G234" s="8">
        <f>IF('Model inputs'!O325="","",'Model inputs'!O325)</f>
        <v>0</v>
      </c>
      <c r="H234" s="8">
        <f>IF('Model inputs'!O325="","",'Model inputs'!O325)</f>
        <v>0</v>
      </c>
      <c r="I234" s="8">
        <f>IF('Model inputs'!O325="","",'Model inputs'!O325)</f>
        <v>0</v>
      </c>
      <c r="J234" s="8">
        <f>IF('Model inputs'!O325="","",'Model inputs'!O325)</f>
        <v>0</v>
      </c>
      <c r="K234" s="8">
        <f>IF('Model inputs'!O325="","",'Model inputs'!O325)</f>
        <v>0</v>
      </c>
      <c r="L234" s="8">
        <f>IF('Model inputs'!O325="","",'Model inputs'!O325)</f>
        <v>0</v>
      </c>
      <c r="M234" s="8">
        <f>IF('Model inputs'!O325="","",'Model inputs'!O325)</f>
        <v>0</v>
      </c>
      <c r="N234" s="8">
        <f>IF('Model inputs'!O325="","",'Model inputs'!O325)</f>
        <v>0</v>
      </c>
    </row>
    <row r="235">
      <c r="A235" t="inlineStr" s="26">
        <is>
          <t xml:space="preserve">Gross profit · Gross margin · Bootstrap no-sales stress — hypothetical · Bootstrap no-sales stress — hypothetical</t>
        </is>
      </c>
      <c r="B235" s="8">
        <f>'Model inputs'!B62-'Model inputs'!B25</f>
        <v>-225</v>
      </c>
      <c r="C235" s="8">
        <v>0</v>
      </c>
      <c r="D235" s="8">
        <f>'Model inputs'!D62-'Model inputs'!D25</f>
        <v>-225</v>
      </c>
      <c r="E235" s="8">
        <f>'Model inputs'!E62-'Model inputs'!E25</f>
        <v>-225</v>
      </c>
      <c r="F235" s="8">
        <f>'Model inputs'!F62-'Model inputs'!F25</f>
        <v>-225</v>
      </c>
      <c r="G235" s="8">
        <f>'Model inputs'!G62-'Model inputs'!G25</f>
        <v>-225</v>
      </c>
      <c r="H235" s="8">
        <f>'Model inputs'!H62-'Model inputs'!H25</f>
        <v>-225</v>
      </c>
      <c r="I235" s="8">
        <f>'Model inputs'!I62-'Model inputs'!I25</f>
        <v>-225</v>
      </c>
      <c r="J235" s="8">
        <f>'Model inputs'!J62-'Model inputs'!J25</f>
        <v>-225</v>
      </c>
      <c r="K235" s="8">
        <f>'Model inputs'!K62-'Model inputs'!K25</f>
        <v>-225</v>
      </c>
      <c r="L235" s="8">
        <f>'Model inputs'!L62-'Model inputs'!L25</f>
        <v>-225</v>
      </c>
      <c r="M235" s="8">
        <f>'Model inputs'!M62-'Model inputs'!M25</f>
        <v>-225</v>
      </c>
      <c r="N235" s="8">
        <f>'Model inputs'!N62-'Model inputs'!N25</f>
        <v>-225</v>
      </c>
    </row>
    <row r="236">
      <c r="A236" t="inlineStr" s="26">
        <is>
          <t xml:space="preserve">Gross profit · Gross margin · Growth · Growth</t>
        </is>
      </c>
      <c r="B236" s="8">
        <f>IF('Model inputs'!B40="","",'Model inputs'!B40)</f>
        <v>11290.296352094763</v>
      </c>
      <c r="C236" s="8">
        <v>0</v>
      </c>
      <c r="D236" s="8">
        <f>IF('Model inputs'!D40="","",'Model inputs'!D40)</f>
        <v>220.14</v>
      </c>
      <c r="E236" s="8">
        <f>IF('Model inputs'!E40="","",'Model inputs'!E40)</f>
        <v>718.6967999999999</v>
      </c>
      <c r="F236" s="8">
        <f>IF('Model inputs'!F40="","",'Model inputs'!F40)</f>
        <v>1279.0835459999996</v>
      </c>
      <c r="G236" s="8">
        <f>IF('Model inputs'!G40="","",'Model inputs'!G40)</f>
        <v>1910.9633371199998</v>
      </c>
      <c r="H236" s="8">
        <f>IF('Model inputs'!H40="","",'Model inputs'!H40)</f>
        <v>2625.4370791313995</v>
      </c>
      <c r="I236" s="8">
        <f>IF('Model inputs'!I40="","",'Model inputs'!I40)</f>
        <v>3435.2595052012075</v>
      </c>
      <c r="J236" s="8">
        <f>IF('Model inputs'!J40="","",'Model inputs'!J40)</f>
        <v>4355.087589255484</v>
      </c>
      <c r="K236" s="8">
        <f>IF('Model inputs'!K40="","",'Model inputs'!K40)</f>
        <v>5401.766211169678</v>
      </c>
      <c r="L236" s="8">
        <f>IF('Model inputs'!L40="","",'Model inputs'!L40)</f>
        <v>6594.656661865225</v>
      </c>
      <c r="M236" s="8">
        <f>IF('Model inputs'!M40="","",'Model inputs'!M40)</f>
        <v>7956.014414594501</v>
      </c>
      <c r="N236" s="8">
        <f>IF('Model inputs'!N40="","",'Model inputs'!N40)</f>
        <v>9511.423552629682</v>
      </c>
    </row>
    <row r="237">
      <c r="A237" t="inlineStr" s="26">
        <is>
          <t xml:space="preserve">Gross profit · Gross margin · Bootstrap $5,000 — hypothetical · Bootstrap $5,000 — hypothetical</t>
        </is>
      </c>
      <c r="B237" s="8">
        <f>'Model inputs'!B67-'Model inputs'!B27</f>
        <v>3630.013727304802</v>
      </c>
      <c r="C237" s="8">
        <v>0</v>
      </c>
      <c r="D237" s="8">
        <f>'Model inputs'!D67-'Model inputs'!D27</f>
        <v>-2.430000000000007</v>
      </c>
      <c r="E237" s="8">
        <f>'Model inputs'!E67-'Model inputs'!E27</f>
        <v>231.26850000000002</v>
      </c>
      <c r="F237" s="8">
        <f>'Model inputs'!F67-'Model inputs'!F27</f>
        <v>477.7647750000001</v>
      </c>
      <c r="G237" s="8">
        <f>'Model inputs'!G67-'Model inputs'!G27</f>
        <v>738.8672062500003</v>
      </c>
      <c r="H237" s="8">
        <f>'Model inputs'!H67-'Model inputs'!H27</f>
        <v>1016.5385829375003</v>
      </c>
      <c r="I237" s="8">
        <f>'Model inputs'!I67-'Model inputs'!I27</f>
        <v>1312.9128644906257</v>
      </c>
      <c r="J237" s="8">
        <f>'Model inputs'!J67-'Model inputs'!J27</f>
        <v>1630.3135530360942</v>
      </c>
      <c r="K237" s="8">
        <f>'Model inputs'!K67-'Model inputs'!K27</f>
        <v>1971.27384033129</v>
      </c>
      <c r="L237" s="8">
        <f>'Model inputs'!L67-'Model inputs'!L27</f>
        <v>2338.5587097564257</v>
      </c>
      <c r="M237" s="8">
        <f>'Model inputs'!M67-'Model inputs'!M27</f>
        <v>2735.189191854475</v>
      </c>
      <c r="N237" s="8">
        <f>'Model inputs'!N67-'Model inputs'!N27</f>
        <v>3164.4689916062093</v>
      </c>
    </row>
    <row r="238">
      <c r="A238" t="inlineStr" s="26">
        <is>
          <t xml:space="preserve">Gross profit · Gross margin · Conservative · Conservative</t>
        </is>
      </c>
      <c r="B238" s="8">
        <f>IF('Model inputs'!B41="","",'Model inputs'!B41)</f>
        <v>498.13544739048837</v>
      </c>
      <c r="C238" s="8">
        <v>0</v>
      </c>
      <c r="D238" s="8">
        <f>IF('Model inputs'!D41="","",'Model inputs'!D41)</f>
        <v>-149.8225</v>
      </c>
      <c r="E238" s="8">
        <f>IF('Model inputs'!E41="","",'Model inputs'!E41)</f>
        <v>-78.40387499999997</v>
      </c>
      <c r="F238" s="8">
        <f>IF('Model inputs'!F41="","",'Model inputs'!F41)</f>
        <v>-10.37575524999994</v>
      </c>
      <c r="G238" s="8">
        <f>IF('Model inputs'!G41="","",'Model inputs'!G41)</f>
        <v>54.6027892125</v>
      </c>
      <c r="H238" s="8">
        <f>IF('Model inputs'!H41="","",'Model inputs'!H41)</f>
        <v>116.84750463927503</v>
      </c>
      <c r="I238" s="8">
        <f>IF('Model inputs'!I41="","",'Model inputs'!I41)</f>
        <v>176.65103098882128</v>
      </c>
      <c r="J238" s="8">
        <f>IF('Model inputs'!J41="","",'Model inputs'!J41)</f>
        <v>234.28481503202454</v>
      </c>
      <c r="K238" s="8">
        <f>IF('Model inputs'!K41="","",'Model inputs'!K41)</f>
        <v>290.0008723474406</v>
      </c>
      <c r="L238" s="8">
        <f>IF('Model inputs'!L41="","",'Model inputs'!L41)</f>
        <v>344.03341035316294</v>
      </c>
      <c r="M238" s="8">
        <f>IF('Model inputs'!M41="","",'Model inputs'!M41)</f>
        <v>396.600323552233</v>
      </c>
      <c r="N238" s="8">
        <f>IF('Model inputs'!N41="","",'Model inputs'!N41)</f>
        <v>447.90457127619703</v>
      </c>
    </row>
    <row r="239">
      <c r="A239" t="inlineStr" s="26">
        <is>
          <t xml:space="preserve">Net cash flow · Closing cash · Growth · Growth</t>
        </is>
      </c>
      <c r="B239" s="8">
        <f>IF('Model inputs'!B55="","",'Model inputs'!B55)</f>
        <v>10915.296352094763</v>
      </c>
      <c r="C239" s="8">
        <v>0</v>
      </c>
      <c r="D239" s="8">
        <f>IF('Model inputs'!D55="","",'Model inputs'!D55)</f>
        <v>-354.86</v>
      </c>
      <c r="E239" s="8">
        <f>IF('Model inputs'!E55="","",'Model inputs'!E55)</f>
        <v>343.69679999999994</v>
      </c>
      <c r="F239" s="8">
        <f>IF('Model inputs'!F55="","",'Model inputs'!F55)</f>
        <v>904.0835459999996</v>
      </c>
      <c r="G239" s="8">
        <f>IF('Model inputs'!G55="","",'Model inputs'!G55)</f>
        <v>1535.9633371199998</v>
      </c>
      <c r="H239" s="8">
        <f>IF('Model inputs'!H55="","",'Model inputs'!H55)</f>
        <v>2250.4370791313995</v>
      </c>
      <c r="I239" s="8">
        <f>IF('Model inputs'!I55="","",'Model inputs'!I55)</f>
        <v>3060.2595052012075</v>
      </c>
      <c r="J239" s="8">
        <f>IF('Model inputs'!J55="","",'Model inputs'!J55)</f>
        <v>3980.087589255484</v>
      </c>
      <c r="K239" s="8">
        <f>IF('Model inputs'!K55="","",'Model inputs'!K55)</f>
        <v>5026.766211169678</v>
      </c>
      <c r="L239" s="8">
        <f>IF('Model inputs'!L55="","",'Model inputs'!L55)</f>
        <v>6219.656661865225</v>
      </c>
      <c r="M239" s="8">
        <f>IF('Model inputs'!M55="","",'Model inputs'!M55)</f>
        <v>7581.014414594501</v>
      </c>
      <c r="N239" s="8">
        <f>IF('Model inputs'!N55="","",'Model inputs'!N55)</f>
        <v>9136.423552629682</v>
      </c>
    </row>
    <row r="240">
      <c r="A240" t="inlineStr" s="26">
        <is>
          <t xml:space="preserve">Net cash flow · Closing cash · Conservative · Conservative</t>
        </is>
      </c>
      <c r="B240" s="8">
        <f>IF('Model inputs'!B57="","",'Model inputs'!B57)</f>
        <v>348.13544739048837</v>
      </c>
      <c r="C240" s="8">
        <v>0</v>
      </c>
      <c r="D240" s="8">
        <f>IF('Model inputs'!D57="","",'Model inputs'!D57)</f>
        <v>-499.8225</v>
      </c>
      <c r="E240" s="8">
        <f>IF('Model inputs'!E57="","",'Model inputs'!E57)</f>
        <v>-228.40387499999997</v>
      </c>
      <c r="F240" s="8">
        <f>IF('Model inputs'!F57="","",'Model inputs'!F57)</f>
        <v>-160.37575524999994</v>
      </c>
      <c r="G240" s="8">
        <f>IF('Model inputs'!G57="","",'Model inputs'!G57)</f>
        <v>-95.3972107875</v>
      </c>
      <c r="H240" s="8">
        <f>IF('Model inputs'!H57="","",'Model inputs'!H57)</f>
        <v>-33.15249536072497</v>
      </c>
      <c r="I240" s="8">
        <f>IF('Model inputs'!I57="","",'Model inputs'!I57)</f>
        <v>26.651030988821276</v>
      </c>
      <c r="J240" s="8">
        <f>IF('Model inputs'!J57="","",'Model inputs'!J57)</f>
        <v>84.28481503202454</v>
      </c>
      <c r="K240" s="8">
        <f>IF('Model inputs'!K57="","",'Model inputs'!K57)</f>
        <v>140.00087234744058</v>
      </c>
      <c r="L240" s="8">
        <f>IF('Model inputs'!L57="","",'Model inputs'!L57)</f>
        <v>194.03341035316294</v>
      </c>
      <c r="M240" s="8">
        <f>IF('Model inputs'!M57="","",'Model inputs'!M57)</f>
        <v>246.60032355223302</v>
      </c>
      <c r="N240" s="8">
        <f>IF('Model inputs'!N57="","",'Model inputs'!N57)</f>
        <v>297.90457127619703</v>
      </c>
    </row>
    <row r="241">
      <c r="A241" t="inlineStr" s="26">
        <is>
          <t xml:space="preserve">One-time launch cost · NeatRescue — Cash &amp; scenarios · Monthly cash — actual-zero and hypothetical bootstrap cases · Bootstrap no-sales stress — hypothetical</t>
        </is>
      </c>
      <c r="B241" s="8">
        <f>0</f>
        <v>0</v>
      </c>
      <c r="C241" s="8">
        <v>0</v>
      </c>
      <c r="D241" s="8">
        <f>IF('Model inputs'!O332="","",'Model inputs'!O332)</f>
        <v>200</v>
      </c>
      <c r="E241" s="8">
        <f>0</f>
        <v>0</v>
      </c>
      <c r="F241" s="8">
        <f>0</f>
        <v>0</v>
      </c>
      <c r="G241" s="8">
        <f>0</f>
        <v>0</v>
      </c>
      <c r="H241" s="8">
        <f>0</f>
        <v>0</v>
      </c>
      <c r="I241" s="8">
        <f>0</f>
        <v>0</v>
      </c>
      <c r="J241" s="8">
        <f>0</f>
        <v>0</v>
      </c>
      <c r="K241" s="8">
        <f>0</f>
        <v>0</v>
      </c>
      <c r="L241" s="8">
        <f>0</f>
        <v>0</v>
      </c>
      <c r="M241" s="8">
        <f>0</f>
        <v>0</v>
      </c>
      <c r="N241" s="8">
        <f>0</f>
        <v>0</v>
      </c>
    </row>
    <row r="242">
      <c r="A242" t="inlineStr" s="26">
        <is>
          <t xml:space="preserve">One-time launch cost · Operating expenses · NeatRescue — Hackathon submission · 12-month scenario comparison — hypothetical · Growth · Growth</t>
        </is>
      </c>
      <c r="B242" s="8">
        <f>0</f>
        <v>0</v>
      </c>
      <c r="C242" s="8">
        <v>0</v>
      </c>
      <c r="D242" s="8">
        <f>IF('Model inputs'!O333="","",'Model inputs'!O333)</f>
        <v>200</v>
      </c>
      <c r="E242" s="8">
        <f>0</f>
        <v>0</v>
      </c>
      <c r="F242" s="8">
        <f>0</f>
        <v>0</v>
      </c>
      <c r="G242" s="8">
        <f>0</f>
        <v>0</v>
      </c>
      <c r="H242" s="8">
        <f>0</f>
        <v>0</v>
      </c>
      <c r="I242" s="8">
        <f>0</f>
        <v>0</v>
      </c>
      <c r="J242" s="8">
        <f>0</f>
        <v>0</v>
      </c>
      <c r="K242" s="8">
        <f>0</f>
        <v>0</v>
      </c>
      <c r="L242" s="8">
        <f>0</f>
        <v>0</v>
      </c>
      <c r="M242" s="8">
        <f>0</f>
        <v>0</v>
      </c>
      <c r="N242" s="8">
        <f>0</f>
        <v>0</v>
      </c>
    </row>
    <row r="243">
      <c r="A243" t="inlineStr" s="26">
        <is>
          <t xml:space="preserve">One-time launch cost · NeatRescue — Cash &amp; scenarios · Monthly cash — actual-zero and hypothetical bootstrap cases · Bootstrap $5,000 — hypothetical</t>
        </is>
      </c>
      <c r="B243" s="8">
        <f>0</f>
        <v>0</v>
      </c>
      <c r="C243" s="8">
        <v>0</v>
      </c>
      <c r="D243" s="8">
        <f>IF('Model inputs'!O334="","",'Model inputs'!O334)</f>
        <v>200</v>
      </c>
      <c r="E243" s="8">
        <f>0</f>
        <v>0</v>
      </c>
      <c r="F243" s="8">
        <f>0</f>
        <v>0</v>
      </c>
      <c r="G243" s="8">
        <f>0</f>
        <v>0</v>
      </c>
      <c r="H243" s="8">
        <f>0</f>
        <v>0</v>
      </c>
      <c r="I243" s="8">
        <f>0</f>
        <v>0</v>
      </c>
      <c r="J243" s="8">
        <f>0</f>
        <v>0</v>
      </c>
      <c r="K243" s="8">
        <f>0</f>
        <v>0</v>
      </c>
      <c r="L243" s="8">
        <f>0</f>
        <v>0</v>
      </c>
      <c r="M243" s="8">
        <f>0</f>
        <v>0</v>
      </c>
      <c r="N243" s="8">
        <f>0</f>
        <v>0</v>
      </c>
    </row>
    <row r="244">
      <c r="A244" t="inlineStr" s="26">
        <is>
          <t xml:space="preserve">One-time launch cost · Operating expenses · NeatRescue — Hackathon submission · 12-month scenario comparison — hypothetical · Conservative · Conservative</t>
        </is>
      </c>
      <c r="B244" s="8">
        <f>0</f>
        <v>0</v>
      </c>
      <c r="C244" s="8">
        <v>0</v>
      </c>
      <c r="D244" s="8">
        <f>IF('Model inputs'!O335="","",'Model inputs'!O335)</f>
        <v>200</v>
      </c>
      <c r="E244" s="8">
        <f>0</f>
        <v>0</v>
      </c>
      <c r="F244" s="8">
        <f>0</f>
        <v>0</v>
      </c>
      <c r="G244" s="8">
        <f>0</f>
        <v>0</v>
      </c>
      <c r="H244" s="8">
        <f>0</f>
        <v>0</v>
      </c>
      <c r="I244" s="8">
        <f>0</f>
        <v>0</v>
      </c>
      <c r="J244" s="8">
        <f>0</f>
        <v>0</v>
      </c>
      <c r="K244" s="8">
        <f>0</f>
        <v>0</v>
      </c>
      <c r="L244" s="8">
        <f>0</f>
        <v>0</v>
      </c>
      <c r="M244" s="8">
        <f>0</f>
        <v>0</v>
      </c>
      <c r="N244" s="8">
        <f>0</f>
        <v>0</v>
      </c>
    </row>
    <row r="245">
      <c r="A245" t="inlineStr" s="26">
        <is>
          <t xml:space="preserve">Opening cash · Closing cash · Growth · Growth</t>
        </is>
      </c>
      <c r="O245" s="8">
        <f>'NeatRescue — Assumptions &amp; simu'!B17</f>
        <v>0</v>
      </c>
    </row>
    <row r="246">
      <c r="A246" t="inlineStr" s="26">
        <is>
          <t xml:space="preserve">Opening cash · Closing cash · Conservative · Conservative</t>
        </is>
      </c>
      <c r="O246" s="8">
        <f>'NeatRescue — Assumptions &amp; simu'!B17</f>
        <v>0</v>
      </c>
    </row>
    <row r="247">
      <c r="A247" t="inlineStr" s="26">
        <is>
          <t xml:space="preserve">Operating profit · NeatRescue — Cash &amp; scenarios · Monthly cash — actual-zero and hypothetical bootstrap cases · Bootstrap no-sales stress — hypothetical</t>
        </is>
      </c>
      <c r="B247" s="8">
        <f>IF('Model inputs'!B54="","",'Model inputs'!B54)</f>
        <v>-450</v>
      </c>
      <c r="C247" s="8">
        <v>0</v>
      </c>
      <c r="D247" s="8">
        <f>IF('Model inputs'!D54="","",'Model inputs'!D54)</f>
        <v>-650</v>
      </c>
      <c r="E247" s="8">
        <f>IF('Model inputs'!E54="","",'Model inputs'!E54)</f>
        <v>-450</v>
      </c>
      <c r="F247" s="8">
        <f>IF('Model inputs'!F54="","",'Model inputs'!F54)</f>
        <v>-450</v>
      </c>
      <c r="G247" s="8">
        <f>IF('Model inputs'!G54="","",'Model inputs'!G54)</f>
        <v>-450</v>
      </c>
      <c r="H247" s="8">
        <f>IF('Model inputs'!H54="","",'Model inputs'!H54)</f>
        <v>-450</v>
      </c>
      <c r="I247" s="8">
        <f>IF('Model inputs'!I54="","",'Model inputs'!I54)</f>
        <v>-450</v>
      </c>
      <c r="J247" s="8">
        <f>IF('Model inputs'!J54="","",'Model inputs'!J54)</f>
        <v>-450</v>
      </c>
      <c r="K247" s="8">
        <f>IF('Model inputs'!K54="","",'Model inputs'!K54)</f>
        <v>-450</v>
      </c>
      <c r="L247" s="8">
        <f>IF('Model inputs'!L54="","",'Model inputs'!L54)</f>
        <v>-450</v>
      </c>
      <c r="M247" s="8">
        <f>IF('Model inputs'!M54="","",'Model inputs'!M54)</f>
        <v>-450</v>
      </c>
      <c r="N247" s="8">
        <f>IF('Model inputs'!N54="","",'Model inputs'!N54)</f>
        <v>-450</v>
      </c>
    </row>
    <row r="248">
      <c r="A248" t="inlineStr" s="26">
        <is>
          <t xml:space="preserve">Operating profit · NeatRescue — Cash &amp; scenarios · Monthly cash — actual-zero and hypothetical bootstrap cases · Bootstrap $5,000 — hypothetical</t>
        </is>
      </c>
      <c r="B248" s="8">
        <f>IF('Model inputs'!B56="","",'Model inputs'!B56)</f>
        <v>3405.013727304802</v>
      </c>
      <c r="C248" s="8">
        <v>0</v>
      </c>
      <c r="D248" s="8">
        <f>IF('Model inputs'!D56="","",'Model inputs'!D56)</f>
        <v>-427.43</v>
      </c>
      <c r="E248" s="8">
        <f>IF('Model inputs'!E56="","",'Model inputs'!E56)</f>
        <v>6.268500000000017</v>
      </c>
      <c r="F248" s="8">
        <f>IF('Model inputs'!F56="","",'Model inputs'!F56)</f>
        <v>252.7647750000001</v>
      </c>
      <c r="G248" s="8">
        <f>IF('Model inputs'!G56="","",'Model inputs'!G56)</f>
        <v>513.8672062500003</v>
      </c>
      <c r="H248" s="8">
        <f>IF('Model inputs'!H56="","",'Model inputs'!H56)</f>
        <v>791.5385829375003</v>
      </c>
      <c r="I248" s="8">
        <f>IF('Model inputs'!I56="","",'Model inputs'!I56)</f>
        <v>1087.9128644906257</v>
      </c>
      <c r="J248" s="8">
        <f>IF('Model inputs'!J56="","",'Model inputs'!J56)</f>
        <v>1405.3135530360942</v>
      </c>
      <c r="K248" s="8">
        <f>IF('Model inputs'!K56="","",'Model inputs'!K56)</f>
        <v>1746.27384033129</v>
      </c>
      <c r="L248" s="8">
        <f>IF('Model inputs'!L56="","",'Model inputs'!L56)</f>
        <v>2113.5587097564257</v>
      </c>
      <c r="M248" s="8">
        <f>IF('Model inputs'!M56="","",'Model inputs'!M56)</f>
        <v>2510.189191854475</v>
      </c>
      <c r="N248" s="8">
        <f>IF('Model inputs'!N56="","",'Model inputs'!N56)</f>
        <v>2939.4689916062093</v>
      </c>
    </row>
    <row r="249">
      <c r="A249" t="inlineStr" s="26">
        <is>
          <t xml:space="preserve">Revenue</t>
        </is>
      </c>
      <c r="B249" s="16">
        <f>IF('Model inputs'!B62="","",'Model inputs'!B62)</f>
        <v>0</v>
      </c>
      <c r="C249" s="16">
        <f>SUM('Model inputs'!C250,'Model inputs'!C251)</f>
        <v>0</v>
      </c>
      <c r="D249" s="16">
        <f>IF('Model inputs'!D62="","",'Model inputs'!D62)</f>
        <v>0</v>
      </c>
      <c r="E249" s="16">
        <f>IF('Model inputs'!E62="","",'Model inputs'!E62)</f>
        <v>0</v>
      </c>
      <c r="F249" s="16">
        <f>IF('Model inputs'!F62="","",'Model inputs'!F62)</f>
        <v>0</v>
      </c>
      <c r="G249" s="16">
        <f>IF('Model inputs'!G62="","",'Model inputs'!G62)</f>
        <v>0</v>
      </c>
      <c r="H249" s="16">
        <f>IF('Model inputs'!H62="","",'Model inputs'!H62)</f>
        <v>0</v>
      </c>
      <c r="I249" s="16">
        <f>IF('Model inputs'!I62="","",'Model inputs'!I62)</f>
        <v>0</v>
      </c>
      <c r="J249" s="16">
        <f>IF('Model inputs'!J62="","",'Model inputs'!J62)</f>
        <v>0</v>
      </c>
      <c r="K249" s="16">
        <f>IF('Model inputs'!K62="","",'Model inputs'!K62)</f>
        <v>0</v>
      </c>
      <c r="L249" s="16">
        <f>IF('Model inputs'!L62="","",'Model inputs'!L62)</f>
        <v>0</v>
      </c>
      <c r="M249" s="16">
        <f>IF('Model inputs'!M62="","",'Model inputs'!M62)</f>
        <v>0</v>
      </c>
      <c r="N249" s="16">
        <f>IF('Model inputs'!N62="","",'Model inputs'!N62)</f>
        <v>0</v>
      </c>
    </row>
    <row r="250" outlineLevel="1">
      <c r="A250" t="inlineStr" s="27">
        <is>
          <t xml:space="preserve">Revenue &gt; Starter</t>
        </is>
      </c>
      <c r="B250" s="8">
        <f>'Model inputs'!B405+'Model inputs'!B429</f>
        <v>0</v>
      </c>
      <c r="C250" s="8">
        <f>'Model inputs'!C60</f>
        <v>0</v>
      </c>
      <c r="D250" s="8">
        <f>'Model inputs'!D405+'Model inputs'!D429</f>
        <v>0</v>
      </c>
      <c r="E250" s="8">
        <f>'Model inputs'!E405+'Model inputs'!E429</f>
        <v>0</v>
      </c>
      <c r="F250" s="8">
        <f>'Model inputs'!F405+'Model inputs'!F429</f>
        <v>0</v>
      </c>
      <c r="G250" s="8">
        <f>'Model inputs'!G405+'Model inputs'!G429</f>
        <v>0</v>
      </c>
      <c r="H250" s="8">
        <f>'Model inputs'!H405+'Model inputs'!H429</f>
        <v>0</v>
      </c>
      <c r="I250" s="8">
        <f>'Model inputs'!I405+'Model inputs'!I429</f>
        <v>0</v>
      </c>
      <c r="J250" s="8">
        <f>'Model inputs'!J405+'Model inputs'!J429</f>
        <v>0</v>
      </c>
      <c r="K250" s="8">
        <f>'Model inputs'!K405+'Model inputs'!K429</f>
        <v>0</v>
      </c>
      <c r="L250" s="8">
        <f>'Model inputs'!L405+'Model inputs'!L429</f>
        <v>0</v>
      </c>
      <c r="M250" s="8">
        <f>'Model inputs'!M405+'Model inputs'!M429</f>
        <v>0</v>
      </c>
      <c r="N250" s="8">
        <f>'Model inputs'!N405+'Model inputs'!N429</f>
        <v>0</v>
      </c>
    </row>
    <row r="251" outlineLevel="1">
      <c r="A251" t="inlineStr" s="27">
        <is>
          <t xml:space="preserve">Revenue &gt; Team</t>
        </is>
      </c>
      <c r="B251" s="8">
        <f>'Model inputs'!B406+'Model inputs'!B430</f>
        <v>0</v>
      </c>
      <c r="C251" s="8">
        <f>'Model inputs'!C61</f>
        <v>0</v>
      </c>
      <c r="D251" s="8">
        <f>'Model inputs'!D406+'Model inputs'!D430</f>
        <v>0</v>
      </c>
      <c r="E251" s="8">
        <f>'Model inputs'!E406+'Model inputs'!E430</f>
        <v>0</v>
      </c>
      <c r="F251" s="8">
        <f>'Model inputs'!F406+'Model inputs'!F430</f>
        <v>0</v>
      </c>
      <c r="G251" s="8">
        <f>'Model inputs'!G406+'Model inputs'!G430</f>
        <v>0</v>
      </c>
      <c r="H251" s="8">
        <f>'Model inputs'!H406+'Model inputs'!H430</f>
        <v>0</v>
      </c>
      <c r="I251" s="8">
        <f>'Model inputs'!I406+'Model inputs'!I430</f>
        <v>0</v>
      </c>
      <c r="J251" s="8">
        <f>'Model inputs'!J406+'Model inputs'!J430</f>
        <v>0</v>
      </c>
      <c r="K251" s="8">
        <f>'Model inputs'!K406+'Model inputs'!K430</f>
        <v>0</v>
      </c>
      <c r="L251" s="8">
        <f>'Model inputs'!L406+'Model inputs'!L430</f>
        <v>0</v>
      </c>
      <c r="M251" s="8">
        <f>'Model inputs'!M406+'Model inputs'!M430</f>
        <v>0</v>
      </c>
      <c r="N251" s="8">
        <f>'Model inputs'!N406+'Model inputs'!N430</f>
        <v>0</v>
      </c>
    </row>
    <row r="252">
      <c r="A252" t="inlineStr" s="26">
        <is>
          <t xml:space="preserve">Revenue</t>
        </is>
      </c>
      <c r="B252" s="16">
        <f>IF('Model inputs'!B67="","",'Model inputs'!B67)</f>
        <v>5559.866138584902</v>
      </c>
      <c r="C252" s="16">
        <f>SUM('Model inputs'!C253,'Model inputs'!C254)</f>
        <v>0</v>
      </c>
      <c r="D252" s="16">
        <f>IF('Model inputs'!D67="","",'Model inputs'!D67)</f>
        <v>321</v>
      </c>
      <c r="E252" s="16">
        <f>IF('Model inputs'!E67="","",'Model inputs'!E67)</f>
        <v>658.0500000000001</v>
      </c>
      <c r="F252" s="16">
        <f>IF('Model inputs'!F67="","",'Model inputs'!F67)</f>
        <v>1013.5575000000001</v>
      </c>
      <c r="G252" s="16">
        <f>IF('Model inputs'!G67="","",'Model inputs'!G67)</f>
        <v>1390.1306250000005</v>
      </c>
      <c r="H252" s="16">
        <f>IF('Model inputs'!H67="","",'Model inputs'!H67)</f>
        <v>1790.6001937500005</v>
      </c>
      <c r="I252" s="16">
        <f>IF('Model inputs'!I67="","",'Model inputs'!I67)</f>
        <v>2218.043894062501</v>
      </c>
      <c r="J252" s="16">
        <f>IF('Model inputs'!J67="","",'Model inputs'!J67)</f>
        <v>2675.8127803593757</v>
      </c>
      <c r="K252" s="16">
        <f>IF('Model inputs'!K67="","",'Model inputs'!K67)</f>
        <v>3167.5603304414076</v>
      </c>
      <c r="L252" s="16">
        <f>IF('Model inputs'!L67="","",'Model inputs'!L67)</f>
        <v>3697.274321929338</v>
      </c>
      <c r="M252" s="16">
        <f>IF('Model inputs'!M67="","",'Model inputs'!M67)</f>
        <v>4269.311814643872</v>
      </c>
      <c r="N252" s="16">
        <f>IF('Model inputs'!N67="","",'Model inputs'!N67)</f>
        <v>4888.43755360378</v>
      </c>
    </row>
    <row r="253" outlineLevel="1">
      <c r="A253" t="inlineStr" s="27">
        <is>
          <t xml:space="preserve">Revenue &gt; Starter</t>
        </is>
      </c>
      <c r="B253" s="8">
        <f>'Model inputs'!B411+'Model inputs'!B435</f>
        <v>1766.6864365596884</v>
      </c>
      <c r="C253" s="8">
        <f>'Model inputs'!C60</f>
        <v>0</v>
      </c>
      <c r="D253" s="8">
        <f>'Model inputs'!D411+'Model inputs'!D435</f>
        <v>102</v>
      </c>
      <c r="E253" s="8">
        <f>'Model inputs'!E411+'Model inputs'!E435</f>
        <v>209.10000000000002</v>
      </c>
      <c r="F253" s="8">
        <f>'Model inputs'!F411+'Model inputs'!F435</f>
        <v>322.06500000000005</v>
      </c>
      <c r="G253" s="8">
        <f>'Model inputs'!G411+'Model inputs'!G435</f>
        <v>441.7237500000001</v>
      </c>
      <c r="H253" s="8">
        <f>'Model inputs'!H411+'Model inputs'!H435</f>
        <v>568.9757625000001</v>
      </c>
      <c r="I253" s="8">
        <f>'Model inputs'!I411+'Model inputs'!I435</f>
        <v>704.7989943750002</v>
      </c>
      <c r="J253" s="8">
        <f>'Model inputs'!J411+'Model inputs'!J435</f>
        <v>850.2582666562503</v>
      </c>
      <c r="K253" s="8">
        <f>'Model inputs'!K411+'Model inputs'!K435</f>
        <v>1006.514497523438</v>
      </c>
      <c r="L253" s="8">
        <f>'Model inputs'!L411+'Model inputs'!L435</f>
        <v>1174.8348312672663</v>
      </c>
      <c r="M253" s="8">
        <f>'Model inputs'!M411+'Model inputs'!M435</f>
        <v>1356.6037541859032</v>
      </c>
      <c r="N253" s="8">
        <f>'Model inputs'!N411+'Model inputs'!N435</f>
        <v>1553.3352974068084</v>
      </c>
    </row>
    <row r="254" outlineLevel="1">
      <c r="A254" t="inlineStr" s="27">
        <is>
          <t xml:space="preserve">Revenue &gt; Team</t>
        </is>
      </c>
      <c r="B254" s="8">
        <f>'Model inputs'!B412+'Model inputs'!B436</f>
        <v>3793.1797020252134</v>
      </c>
      <c r="C254" s="8">
        <f>'Model inputs'!C61</f>
        <v>0</v>
      </c>
      <c r="D254" s="8">
        <f>'Model inputs'!D412+'Model inputs'!D436</f>
        <v>219</v>
      </c>
      <c r="E254" s="8">
        <f>'Model inputs'!E412+'Model inputs'!E436</f>
        <v>448.95000000000005</v>
      </c>
      <c r="F254" s="8">
        <f>'Model inputs'!F412+'Model inputs'!F436</f>
        <v>691.4925000000001</v>
      </c>
      <c r="G254" s="8">
        <f>'Model inputs'!G412+'Model inputs'!G436</f>
        <v>948.4068750000004</v>
      </c>
      <c r="H254" s="8">
        <f>'Model inputs'!H412+'Model inputs'!H436</f>
        <v>1221.6244312500003</v>
      </c>
      <c r="I254" s="8">
        <f>'Model inputs'!I412+'Model inputs'!I436</f>
        <v>1513.2448996875005</v>
      </c>
      <c r="J254" s="8">
        <f>'Model inputs'!J412+'Model inputs'!J436</f>
        <v>1825.5545137031254</v>
      </c>
      <c r="K254" s="8">
        <f>'Model inputs'!K412+'Model inputs'!K436</f>
        <v>2161.0458329179696</v>
      </c>
      <c r="L254" s="8">
        <f>'Model inputs'!L412+'Model inputs'!L436</f>
        <v>2522.4394906620714</v>
      </c>
      <c r="M254" s="8">
        <f>'Model inputs'!M412+'Model inputs'!M436</f>
        <v>2912.7080604579683</v>
      </c>
      <c r="N254" s="8">
        <f>'Model inputs'!N412+'Model inputs'!N436</f>
        <v>3335.102256196971</v>
      </c>
    </row>
    <row r="255">
      <c r="A255" t="inlineStr" s="26">
        <is>
          <t xml:space="preserve">Security expense · NeatRescue — Cash &amp; scenarios · Monthly cash — actual-zero and hypothetical bootstrap cases · Bootstrap no-sales stress — hypothetical</t>
        </is>
      </c>
      <c r="B255" s="8">
        <f>IF('Model inputs'!O352="","",'Model inputs'!O352)</f>
        <v>75</v>
      </c>
      <c r="C255" s="8">
        <v>0</v>
      </c>
      <c r="D255" s="8">
        <f>IF('Model inputs'!O352="","",'Model inputs'!O352)</f>
        <v>75</v>
      </c>
      <c r="E255" s="8">
        <f>IF('Model inputs'!O352="","",'Model inputs'!O352)</f>
        <v>75</v>
      </c>
      <c r="F255" s="8">
        <f>IF('Model inputs'!O352="","",'Model inputs'!O352)</f>
        <v>75</v>
      </c>
      <c r="G255" s="8">
        <f>IF('Model inputs'!O352="","",'Model inputs'!O352)</f>
        <v>75</v>
      </c>
      <c r="H255" s="8">
        <f>IF('Model inputs'!O352="","",'Model inputs'!O352)</f>
        <v>75</v>
      </c>
      <c r="I255" s="8">
        <f>IF('Model inputs'!O352="","",'Model inputs'!O352)</f>
        <v>75</v>
      </c>
      <c r="J255" s="8">
        <f>IF('Model inputs'!O352="","",'Model inputs'!O352)</f>
        <v>75</v>
      </c>
      <c r="K255" s="8">
        <f>IF('Model inputs'!O352="","",'Model inputs'!O352)</f>
        <v>75</v>
      </c>
      <c r="L255" s="8">
        <f>IF('Model inputs'!O352="","",'Model inputs'!O352)</f>
        <v>75</v>
      </c>
      <c r="M255" s="8">
        <f>IF('Model inputs'!O352="","",'Model inputs'!O352)</f>
        <v>75</v>
      </c>
      <c r="N255" s="8">
        <f>IF('Model inputs'!O352="","",'Model inputs'!O352)</f>
        <v>75</v>
      </c>
    </row>
    <row r="256">
      <c r="A256" t="inlineStr" s="26">
        <is>
          <t xml:space="preserve">Security expense · Break-even customers · Growth · Growth</t>
        </is>
      </c>
      <c r="B256" s="8">
        <f>IF('Model inputs'!O353="","",'Model inputs'!O353)</f>
        <v>75</v>
      </c>
      <c r="D256" s="8">
        <f>IF('Model inputs'!O353="","",'Model inputs'!O353)</f>
        <v>75</v>
      </c>
      <c r="E256" s="8">
        <f>IF('Model inputs'!O353="","",'Model inputs'!O353)</f>
        <v>75</v>
      </c>
      <c r="F256" s="8">
        <f>IF('Model inputs'!O353="","",'Model inputs'!O353)</f>
        <v>75</v>
      </c>
      <c r="G256" s="8">
        <f>IF('Model inputs'!O353="","",'Model inputs'!O353)</f>
        <v>75</v>
      </c>
      <c r="H256" s="8">
        <f>IF('Model inputs'!O353="","",'Model inputs'!O353)</f>
        <v>75</v>
      </c>
      <c r="I256" s="8">
        <f>IF('Model inputs'!O353="","",'Model inputs'!O353)</f>
        <v>75</v>
      </c>
      <c r="J256" s="8">
        <f>IF('Model inputs'!O353="","",'Model inputs'!O353)</f>
        <v>75</v>
      </c>
      <c r="K256" s="8">
        <f>IF('Model inputs'!O353="","",'Model inputs'!O353)</f>
        <v>75</v>
      </c>
      <c r="L256" s="8">
        <f>IF('Model inputs'!O353="","",'Model inputs'!O353)</f>
        <v>75</v>
      </c>
      <c r="M256" s="8">
        <f>IF('Model inputs'!O353="","",'Model inputs'!O353)</f>
        <v>75</v>
      </c>
      <c r="N256" s="8">
        <f>IF('Model inputs'!O353="","",'Model inputs'!O353)</f>
        <v>75</v>
      </c>
    </row>
    <row r="257">
      <c r="A257" t="inlineStr" s="26">
        <is>
          <t xml:space="preserve">Security expense · NeatRescue — Cash &amp; scenarios · Monthly cash — actual-zero and hypothetical bootstrap cases · Bootstrap $5,000 — hypothetical</t>
        </is>
      </c>
      <c r="B257" s="8">
        <f>IF('Model inputs'!O354="","",'Model inputs'!O354)</f>
        <v>75</v>
      </c>
      <c r="C257" s="8">
        <v>0</v>
      </c>
      <c r="D257" s="8">
        <f>IF('Model inputs'!O354="","",'Model inputs'!O354)</f>
        <v>75</v>
      </c>
      <c r="E257" s="8">
        <f>IF('Model inputs'!O354="","",'Model inputs'!O354)</f>
        <v>75</v>
      </c>
      <c r="F257" s="8">
        <f>IF('Model inputs'!O354="","",'Model inputs'!O354)</f>
        <v>75</v>
      </c>
      <c r="G257" s="8">
        <f>IF('Model inputs'!O354="","",'Model inputs'!O354)</f>
        <v>75</v>
      </c>
      <c r="H257" s="8">
        <f>IF('Model inputs'!O354="","",'Model inputs'!O354)</f>
        <v>75</v>
      </c>
      <c r="I257" s="8">
        <f>IF('Model inputs'!O354="","",'Model inputs'!O354)</f>
        <v>75</v>
      </c>
      <c r="J257" s="8">
        <f>IF('Model inputs'!O354="","",'Model inputs'!O354)</f>
        <v>75</v>
      </c>
      <c r="K257" s="8">
        <f>IF('Model inputs'!O354="","",'Model inputs'!O354)</f>
        <v>75</v>
      </c>
      <c r="L257" s="8">
        <f>IF('Model inputs'!O354="","",'Model inputs'!O354)</f>
        <v>75</v>
      </c>
      <c r="M257" s="8">
        <f>IF('Model inputs'!O354="","",'Model inputs'!O354)</f>
        <v>75</v>
      </c>
      <c r="N257" s="8">
        <f>IF('Model inputs'!O354="","",'Model inputs'!O354)</f>
        <v>75</v>
      </c>
    </row>
    <row r="258">
      <c r="A258" t="inlineStr" s="26">
        <is>
          <t xml:space="preserve">Security expense · Break-even customers · Conservative · Conservative</t>
        </is>
      </c>
      <c r="B258" s="8">
        <f>IF('Model inputs'!O355="","",'Model inputs'!O355)</f>
        <v>75</v>
      </c>
      <c r="D258" s="8">
        <f>IF('Model inputs'!O355="","",'Model inputs'!O355)</f>
        <v>75</v>
      </c>
      <c r="E258" s="8">
        <f>IF('Model inputs'!O355="","",'Model inputs'!O355)</f>
        <v>75</v>
      </c>
      <c r="F258" s="8">
        <f>IF('Model inputs'!O355="","",'Model inputs'!O355)</f>
        <v>75</v>
      </c>
      <c r="G258" s="8">
        <f>IF('Model inputs'!O355="","",'Model inputs'!O355)</f>
        <v>75</v>
      </c>
      <c r="H258" s="8">
        <f>IF('Model inputs'!O355="","",'Model inputs'!O355)</f>
        <v>75</v>
      </c>
      <c r="I258" s="8">
        <f>IF('Model inputs'!O355="","",'Model inputs'!O355)</f>
        <v>75</v>
      </c>
      <c r="J258" s="8">
        <f>IF('Model inputs'!O355="","",'Model inputs'!O355)</f>
        <v>75</v>
      </c>
      <c r="K258" s="8">
        <f>IF('Model inputs'!O355="","",'Model inputs'!O355)</f>
        <v>75</v>
      </c>
      <c r="L258" s="8">
        <f>IF('Model inputs'!O355="","",'Model inputs'!O355)</f>
        <v>75</v>
      </c>
      <c r="M258" s="8">
        <f>IF('Model inputs'!O355="","",'Model inputs'!O355)</f>
        <v>75</v>
      </c>
      <c r="N258" s="8">
        <f>IF('Model inputs'!O355="","",'Model inputs'!O355)</f>
        <v>75</v>
      </c>
    </row>
    <row r="259">
      <c r="A259" t="inlineStr" s="26">
        <is>
          <t xml:space="preserve">Sensitivity churn</t>
        </is>
      </c>
      <c r="P259" s="6">
        <v>0</v>
      </c>
    </row>
    <row r="260" outlineLevel="1">
      <c r="A260" t="inlineStr" s="27">
        <is>
          <t xml:space="preserve">Sensitivity churn &gt; Inference $0.025 / churn 10%</t>
        </is>
      </c>
      <c r="P260" s="9">
        <f>'NeatRescue — Sensitivity · Infe'!C5</f>
        <v>0.1</v>
      </c>
    </row>
    <row r="261" outlineLevel="1">
      <c r="A261" t="inlineStr" s="27">
        <is>
          <t xml:space="preserve">Sensitivity churn &gt; Inference $0.025 / churn 2%</t>
        </is>
      </c>
      <c r="P261" s="9">
        <f>'NeatRescue — Sensitivity · Infe'!C6</f>
        <v>0.02</v>
      </c>
    </row>
    <row r="262" outlineLevel="1">
      <c r="A262" t="inlineStr" s="27">
        <is>
          <t xml:space="preserve">Sensitivity churn &gt; Inference $0.025 / churn 5%</t>
        </is>
      </c>
      <c r="P262" s="9">
        <f>'NeatRescue — Sensitivity · Infe'!C7</f>
        <v>0.05</v>
      </c>
    </row>
    <row r="263" outlineLevel="1">
      <c r="A263" t="inlineStr" s="27">
        <is>
          <t xml:space="preserve">Sensitivity churn &gt; Inference $0.050 / churn 10%</t>
        </is>
      </c>
      <c r="P263" s="9">
        <f>'NeatRescue — Sensitivity · Infe'!C8</f>
        <v>0.1</v>
      </c>
    </row>
    <row r="264" outlineLevel="1">
      <c r="A264" t="inlineStr" s="27">
        <is>
          <t xml:space="preserve">Sensitivity churn &gt; Inference $0.050 / churn 2%</t>
        </is>
      </c>
      <c r="P264" s="9">
        <f>'NeatRescue — Sensitivity · Infe'!C9</f>
        <v>0.02</v>
      </c>
    </row>
    <row r="265" outlineLevel="1">
      <c r="A265" t="inlineStr" s="27">
        <is>
          <t xml:space="preserve">Sensitivity churn &gt; Inference $0.050 / churn 5%</t>
        </is>
      </c>
      <c r="P265" s="9">
        <f>'NeatRescue — Sensitivity · Infe'!C10</f>
        <v>0.05</v>
      </c>
    </row>
    <row r="266" outlineLevel="1">
      <c r="A266" t="inlineStr" s="27">
        <is>
          <t xml:space="preserve">Sensitivity churn &gt; Inference $0.150 / churn 10%</t>
        </is>
      </c>
      <c r="P266" s="9">
        <f>'NeatRescue — Sensitivity · Infe'!C11</f>
        <v>0.1</v>
      </c>
    </row>
    <row r="267" outlineLevel="1">
      <c r="A267" t="inlineStr" s="27">
        <is>
          <t xml:space="preserve">Sensitivity churn &gt; Inference $0.150 / churn 2%</t>
        </is>
      </c>
      <c r="P267" s="9">
        <f>'NeatRescue — Sensitivity · Infe'!C12</f>
        <v>0.02</v>
      </c>
    </row>
    <row r="268" outlineLevel="1">
      <c r="A268" t="inlineStr" s="27">
        <is>
          <t xml:space="preserve">Sensitivity churn &gt; Inference $0.150 / churn 5%</t>
        </is>
      </c>
      <c r="P268" s="9">
        <f>'NeatRescue — Sensitivity · Infe'!C13</f>
        <v>0.05</v>
      </c>
    </row>
    <row r="269" outlineLevel="1">
      <c r="A269" t="inlineStr" s="27">
        <is>
          <t xml:space="preserve">Sensitivity churn &gt; Inference $0.300 / churn 10%</t>
        </is>
      </c>
      <c r="P269" s="9">
        <f>'NeatRescue — Sensitivity · Infe'!C14</f>
        <v>0.1</v>
      </c>
    </row>
    <row r="270" outlineLevel="1">
      <c r="A270" t="inlineStr" s="27">
        <is>
          <t xml:space="preserve">Sensitivity churn &gt; Inference $0.300 / churn 2%</t>
        </is>
      </c>
      <c r="P270" s="9">
        <f>'NeatRescue — Sensitivity · Infe'!C15</f>
        <v>0.02</v>
      </c>
    </row>
    <row r="271" outlineLevel="1">
      <c r="A271" t="inlineStr" s="27">
        <is>
          <t xml:space="preserve">Sensitivity churn &gt; Inference $0.300 / churn 5%</t>
        </is>
      </c>
      <c r="P271" s="9">
        <f>'NeatRescue — Sensitivity · Infe'!C16</f>
        <v>0.05</v>
      </c>
    </row>
    <row r="272">
      <c r="A272" t="inlineStr" s="26">
        <is>
          <t xml:space="preserve">Subscription revenue</t>
        </is>
      </c>
      <c r="B272" s="16">
        <f>SUM('Model inputs'!B273,'Model inputs'!B274)</f>
        <v>15366.145556778292</v>
      </c>
      <c r="D272" s="16">
        <f>SUM('Model inputs'!D273,'Model inputs'!D274)</f>
        <v>594</v>
      </c>
      <c r="E272" s="16">
        <f>SUM('Model inputs'!E273,'Model inputs'!E274)</f>
        <v>1259.28</v>
      </c>
      <c r="F272" s="16">
        <f>SUM('Model inputs'!F273,'Model inputs'!F274)</f>
        <v>2007.0665999999997</v>
      </c>
      <c r="G272" s="16">
        <f>SUM('Model inputs'!G273,'Model inputs'!G274)</f>
        <v>2850.254352</v>
      </c>
      <c r="H272" s="16">
        <f>SUM('Model inputs'!H273,'Model inputs'!H274)</f>
        <v>3803.6564339399993</v>
      </c>
      <c r="I272" s="16">
        <f>SUM('Model inputs'!I273,'Model inputs'!I274)</f>
        <v>4884.292910296799</v>
      </c>
      <c r="J272" s="16">
        <f>SUM('Model inputs'!J273,'Model inputs'!J274)</f>
        <v>6111.722217769145</v>
      </c>
      <c r="K272" s="16">
        <f>SUM('Model inputs'!K273,'Model inputs'!K274)</f>
        <v>7508.422360234507</v>
      </c>
      <c r="L272" s="16">
        <f>SUM('Model inputs'!L273,'Model inputs'!L274)</f>
        <v>9100.229269775675</v>
      </c>
      <c r="M272" s="16">
        <f>SUM('Model inputs'!M273,'Model inputs'!M274)</f>
        <v>10916.840909082835</v>
      </c>
      <c r="N272" s="16">
        <f>SUM('Model inputs'!N273,'Model inputs'!N274)</f>
        <v>12992.396976820846</v>
      </c>
    </row>
    <row r="273" outlineLevel="1">
      <c r="A273" t="inlineStr" s="27">
        <is>
          <t xml:space="preserve">Subscription revenue &gt; Starter</t>
        </is>
      </c>
      <c r="B273" s="8">
        <f>'Model inputs'!B215*'Model inputs'!O357</f>
        <v>5070.310655098561</v>
      </c>
      <c r="D273" s="8">
        <f>'Model inputs'!D215*'Model inputs'!O357</f>
        <v>196</v>
      </c>
      <c r="E273" s="8">
        <f>'Model inputs'!E215*'Model inputs'!O357</f>
        <v>415.52000000000004</v>
      </c>
      <c r="F273" s="8">
        <f>'Model inputs'!F215*'Model inputs'!O357</f>
        <v>662.2643999999999</v>
      </c>
      <c r="G273" s="8">
        <f>'Model inputs'!G215*'Model inputs'!O357</f>
        <v>940.4879679999999</v>
      </c>
      <c r="H273" s="8">
        <f>'Model inputs'!H215*'Model inputs'!O357</f>
        <v>1255.07855396</v>
      </c>
      <c r="I273" s="8">
        <f>'Model inputs'!I215*'Model inputs'!O357</f>
        <v>1611.6522060911998</v>
      </c>
      <c r="J273" s="8">
        <f>'Model inputs'!J215*'Model inputs'!O357</f>
        <v>2016.6625499709635</v>
      </c>
      <c r="K273" s="8">
        <f>'Model inputs'!K215*'Model inputs'!O357</f>
        <v>2477.5265700437094</v>
      </c>
      <c r="L273" s="8">
        <f>'Model inputs'!L215*'Model inputs'!O357</f>
        <v>3002.769254000054</v>
      </c>
      <c r="M273" s="8">
        <f>'Model inputs'!M215*'Model inputs'!O357</f>
        <v>3602.1899295963567</v>
      </c>
      <c r="N273" s="8">
        <f>'Model inputs'!N215*'Model inputs'!O357</f>
        <v>4287.053547907215</v>
      </c>
    </row>
    <row r="274" outlineLevel="1">
      <c r="A274" t="inlineStr" s="27">
        <is>
          <t xml:space="preserve">Subscription revenue &gt; Team</t>
        </is>
      </c>
      <c r="B274" s="8">
        <f>'Model inputs'!B216*'Model inputs'!O358</f>
        <v>10295.834901679731</v>
      </c>
      <c r="D274" s="8">
        <f>'Model inputs'!D216*'Model inputs'!O358</f>
        <v>398</v>
      </c>
      <c r="E274" s="8">
        <f>'Model inputs'!E216*'Model inputs'!O358</f>
        <v>843.76</v>
      </c>
      <c r="F274" s="8">
        <f>'Model inputs'!F216*'Model inputs'!O358</f>
        <v>1344.8021999999999</v>
      </c>
      <c r="G274" s="8">
        <f>'Model inputs'!G216*'Model inputs'!O358</f>
        <v>1909.7663839999998</v>
      </c>
      <c r="H274" s="8">
        <f>'Model inputs'!H216*'Model inputs'!O358</f>
        <v>2548.5778799799996</v>
      </c>
      <c r="I274" s="8">
        <f>'Model inputs'!I216*'Model inputs'!O358</f>
        <v>3272.6407042055994</v>
      </c>
      <c r="J274" s="8">
        <f>'Model inputs'!J216*'Model inputs'!O358</f>
        <v>4095.059667798181</v>
      </c>
      <c r="K274" s="8">
        <f>'Model inputs'!K216*'Model inputs'!O358</f>
        <v>5030.895790190798</v>
      </c>
      <c r="L274" s="8">
        <f>'Model inputs'!L216*'Model inputs'!O358</f>
        <v>6097.46001577562</v>
      </c>
      <c r="M274" s="8">
        <f>'Model inputs'!M216*'Model inputs'!O358</f>
        <v>7314.65097948648</v>
      </c>
      <c r="N274" s="8">
        <f>'Model inputs'!N216*'Model inputs'!O358</f>
        <v>8705.343428913631</v>
      </c>
    </row>
    <row r="275">
      <c r="A275" t="inlineStr" s="26">
        <is>
          <t xml:space="preserve">Subscription revenue</t>
        </is>
      </c>
      <c r="B275" s="16">
        <f>SUM('Model inputs'!B276,'Model inputs'!B277)</f>
        <v>949.8802890467324</v>
      </c>
      <c r="D275" s="16">
        <f>SUM('Model inputs'!D276,'Model inputs'!D277)</f>
        <v>98.75</v>
      </c>
      <c r="E275" s="16">
        <f>SUM('Model inputs'!E276,'Model inputs'!E277)</f>
        <v>192.5625</v>
      </c>
      <c r="F275" s="16">
        <f>SUM('Model inputs'!F276,'Model inputs'!F277)</f>
        <v>281.921375</v>
      </c>
      <c r="G275" s="16">
        <f>SUM('Model inputs'!G276,'Model inputs'!G277)</f>
        <v>367.27445625000007</v>
      </c>
      <c r="H275" s="16">
        <f>SUM('Model inputs'!H276,'Model inputs'!H277)</f>
        <v>449.0364947375001</v>
      </c>
      <c r="I275" s="16">
        <f>SUM('Model inputs'!I276,'Model inputs'!I277)</f>
        <v>527.591889995625</v>
      </c>
      <c r="J275" s="16">
        <f>SUM('Model inputs'!J276,'Model inputs'!J277)</f>
        <v>603.2972030782138</v>
      </c>
      <c r="K275" s="16">
        <f>SUM('Model inputs'!K276,'Model inputs'!K277)</f>
        <v>676.4834710426626</v>
      </c>
      <c r="L275" s="16">
        <f>SUM('Model inputs'!L276,'Model inputs'!L277)</f>
        <v>747.4583388962767</v>
      </c>
      <c r="M275" s="16">
        <f>SUM('Model inputs'!M276,'Model inputs'!M277)</f>
        <v>816.5080236877125</v>
      </c>
      <c r="N275" s="16">
        <f>SUM('Model inputs'!N276,'Model inputs'!N277)</f>
        <v>883.8991242529275</v>
      </c>
    </row>
    <row r="276" outlineLevel="1">
      <c r="A276" t="inlineStr" s="27">
        <is>
          <t xml:space="preserve">Subscription revenue &gt; Starter</t>
        </is>
      </c>
      <c r="B276" s="8">
        <f>'Model inputs'!B221*'Model inputs'!O360</f>
        <v>471.33300418521407</v>
      </c>
      <c r="D276" s="8">
        <f>'Model inputs'!D221*'Model inputs'!O360</f>
        <v>49</v>
      </c>
      <c r="E276" s="8">
        <f>'Model inputs'!E221*'Model inputs'!O360</f>
        <v>95.55000000000001</v>
      </c>
      <c r="F276" s="8">
        <f>'Model inputs'!F221*'Model inputs'!O360</f>
        <v>139.89010000000002</v>
      </c>
      <c r="G276" s="8">
        <f>'Model inputs'!G221*'Model inputs'!O360</f>
        <v>182.24251500000003</v>
      </c>
      <c r="H276" s="8">
        <f>'Model inputs'!H221*'Model inputs'!O360</f>
        <v>222.81304549000004</v>
      </c>
      <c r="I276" s="8">
        <f>'Model inputs'!I221*'Model inputs'!O360</f>
        <v>261.79243149150005</v>
      </c>
      <c r="J276" s="8">
        <f>'Model inputs'!J221*'Model inputs'!O360</f>
        <v>299.35759950210104</v>
      </c>
      <c r="K276" s="8">
        <f>'Model inputs'!K221*'Model inputs'!O360</f>
        <v>335.67281094775154</v>
      </c>
      <c r="L276" s="8">
        <f>'Model inputs'!L221*'Model inputs'!O360</f>
        <v>370.8907200599246</v>
      </c>
      <c r="M276" s="8">
        <f>'Model inputs'!M221*'Model inputs'!O360</f>
        <v>405.1533484627637</v>
      </c>
      <c r="N276" s="8">
        <f>'Model inputs'!N221*'Model inputs'!O360</f>
        <v>438.5929831736045</v>
      </c>
    </row>
    <row r="277" outlineLevel="1">
      <c r="A277" t="inlineStr" s="27">
        <is>
          <t xml:space="preserve">Subscription revenue &gt; Team</t>
        </is>
      </c>
      <c r="B277" s="8">
        <f>'Model inputs'!B222*'Model inputs'!O361</f>
        <v>478.54728486151834</v>
      </c>
      <c r="D277" s="8">
        <f>'Model inputs'!D222*'Model inputs'!O361</f>
        <v>49.75</v>
      </c>
      <c r="E277" s="8">
        <f>'Model inputs'!E222*'Model inputs'!O361</f>
        <v>97.0125</v>
      </c>
      <c r="F277" s="8">
        <f>'Model inputs'!F222*'Model inputs'!O361</f>
        <v>142.03127500000002</v>
      </c>
      <c r="G277" s="8">
        <f>'Model inputs'!G222*'Model inputs'!O361</f>
        <v>185.03194125000002</v>
      </c>
      <c r="H277" s="8">
        <f>'Model inputs'!H222*'Model inputs'!O361</f>
        <v>226.22344924750004</v>
      </c>
      <c r="I277" s="8">
        <f>'Model inputs'!I222*'Model inputs'!O361</f>
        <v>265.799458504125</v>
      </c>
      <c r="J277" s="8">
        <f>'Model inputs'!J222*'Model inputs'!O361</f>
        <v>303.93960357611275</v>
      </c>
      <c r="K277" s="8">
        <f>'Model inputs'!K222*'Model inputs'!O361</f>
        <v>340.810660094911</v>
      </c>
      <c r="L277" s="8">
        <f>'Model inputs'!L222*'Model inputs'!O361</f>
        <v>376.56761883635204</v>
      </c>
      <c r="M277" s="8">
        <f>'Model inputs'!M222*'Model inputs'!O361</f>
        <v>411.35467522494883</v>
      </c>
      <c r="N277" s="8">
        <f>'Model inputs'!N222*'Model inputs'!O361</f>
        <v>445.30614107932297</v>
      </c>
    </row>
    <row r="278">
      <c r="A278" t="inlineStr" s="26">
        <is>
          <t xml:space="preserve">Variable cost of revenue · Cost of revenue · Bootstrap no-sales stress — hypothetical · Bootstrap no-sales stress — hypothetical</t>
        </is>
      </c>
      <c r="B278" s="8">
        <f>SUM('Model inputs'!B417,'Model inputs'!B418)</f>
        <v>0</v>
      </c>
      <c r="C278" s="8">
        <f>SUM('Model inputs'!C417,'Model inputs'!C418)</f>
        <v>0</v>
      </c>
      <c r="D278" s="8">
        <f>SUM('Model inputs'!D417,'Model inputs'!D418)</f>
        <v>0</v>
      </c>
      <c r="E278" s="8">
        <f>SUM('Model inputs'!E417,'Model inputs'!E418)</f>
        <v>0</v>
      </c>
      <c r="F278" s="8">
        <f>SUM('Model inputs'!F417,'Model inputs'!F418)</f>
        <v>0</v>
      </c>
      <c r="G278" s="8">
        <f>SUM('Model inputs'!G417,'Model inputs'!G418)</f>
        <v>0</v>
      </c>
      <c r="H278" s="8">
        <f>SUM('Model inputs'!H417,'Model inputs'!H418)</f>
        <v>0</v>
      </c>
      <c r="I278" s="8">
        <f>SUM('Model inputs'!I417,'Model inputs'!I418)</f>
        <v>0</v>
      </c>
      <c r="J278" s="8">
        <f>SUM('Model inputs'!J417,'Model inputs'!J418)</f>
        <v>0</v>
      </c>
      <c r="K278" s="8">
        <f>SUM('Model inputs'!K417,'Model inputs'!K418)</f>
        <v>0</v>
      </c>
      <c r="L278" s="8">
        <f>SUM('Model inputs'!L417,'Model inputs'!L418)</f>
        <v>0</v>
      </c>
      <c r="M278" s="8">
        <f>SUM('Model inputs'!M417,'Model inputs'!M418)</f>
        <v>0</v>
      </c>
      <c r="N278" s="8">
        <f>SUM('Model inputs'!N417,'Model inputs'!N418)</f>
        <v>0</v>
      </c>
    </row>
    <row r="279">
      <c r="A279" t="inlineStr" s="26">
        <is>
          <t xml:space="preserve">Variable cost of revenue · Cost of revenue · Growth · Growth</t>
        </is>
      </c>
      <c r="B279" s="8">
        <f>SUM('Model inputs'!B420,'Model inputs'!B421)</f>
        <v>5092.557936544402</v>
      </c>
      <c r="D279" s="8">
        <f>SUM('Model inputs'!D420,'Model inputs'!D421)</f>
        <v>196.85999999999999</v>
      </c>
      <c r="E279" s="8">
        <f>SUM('Model inputs'!E420,'Model inputs'!E421)</f>
        <v>417.3432</v>
      </c>
      <c r="F279" s="8">
        <f>SUM('Model inputs'!F420,'Model inputs'!F421)</f>
        <v>665.1702539999999</v>
      </c>
      <c r="G279" s="8">
        <f>SUM('Model inputs'!G420,'Model inputs'!G421)</f>
        <v>944.6145988799999</v>
      </c>
      <c r="H279" s="8">
        <f>SUM('Model inputs'!H420,'Model inputs'!H421)</f>
        <v>1260.5855312886</v>
      </c>
      <c r="I279" s="8">
        <f>SUM('Model inputs'!I420,'Model inputs'!I421)</f>
        <v>1618.723741281192</v>
      </c>
      <c r="J279" s="8">
        <f>SUM('Model inputs'!J420,'Model inputs'!J421)</f>
        <v>2025.5111713636934</v>
      </c>
      <c r="K279" s="8">
        <f>SUM('Model inputs'!K420,'Model inputs'!K421)</f>
        <v>2488.3973498918604</v>
      </c>
      <c r="L279" s="8">
        <f>SUM('Model inputs'!L420,'Model inputs'!L421)</f>
        <v>3015.9446701145444</v>
      </c>
      <c r="M279" s="8">
        <f>SUM('Model inputs'!M420,'Model inputs'!M421)</f>
        <v>3617.9954568384637</v>
      </c>
      <c r="N279" s="8">
        <f>SUM('Model inputs'!N420,'Model inputs'!N421)</f>
        <v>4305.864088984768</v>
      </c>
    </row>
    <row r="280">
      <c r="A280" t="inlineStr" s="26">
        <is>
          <t xml:space="preserve">Variable cost of revenue · Cost of revenue · Bootstrap $5,000 — hypothetical · Bootstrap $5,000 — hypothetical</t>
        </is>
      </c>
      <c r="B280" s="8">
        <f>SUM('Model inputs'!B423,'Model inputs'!B424)</f>
        <v>1704.8524112800994</v>
      </c>
      <c r="C280" s="8">
        <f>SUM('Model inputs'!C423,'Model inputs'!C424)</f>
        <v>0</v>
      </c>
      <c r="D280" s="8">
        <f>SUM('Model inputs'!D423,'Model inputs'!D424)</f>
        <v>98.42999999999999</v>
      </c>
      <c r="E280" s="8">
        <f>SUM('Model inputs'!E423,'Model inputs'!E424)</f>
        <v>201.78150000000005</v>
      </c>
      <c r="F280" s="8">
        <f>SUM('Model inputs'!F423,'Model inputs'!F424)</f>
        <v>310.7927250000001</v>
      </c>
      <c r="G280" s="8">
        <f>SUM('Model inputs'!G423,'Model inputs'!G424)</f>
        <v>426.26341875000014</v>
      </c>
      <c r="H280" s="8">
        <f>SUM('Model inputs'!H423,'Model inputs'!H424)</f>
        <v>549.0616108125001</v>
      </c>
      <c r="I280" s="8">
        <f>SUM('Model inputs'!I423,'Model inputs'!I424)</f>
        <v>680.1310295718752</v>
      </c>
      <c r="J280" s="8">
        <f>SUM('Model inputs'!J423,'Model inputs'!J424)</f>
        <v>820.4992273232815</v>
      </c>
      <c r="K280" s="8">
        <f>SUM('Model inputs'!K423,'Model inputs'!K424)</f>
        <v>971.2864901101176</v>
      </c>
      <c r="L280" s="8">
        <f>SUM('Model inputs'!L423,'Model inputs'!L424)</f>
        <v>1133.715612172912</v>
      </c>
      <c r="M280" s="8">
        <f>SUM('Model inputs'!M423,'Model inputs'!M424)</f>
        <v>1309.1226227893965</v>
      </c>
      <c r="N280" s="8">
        <f>SUM('Model inputs'!N423,'Model inputs'!N424)</f>
        <v>1498.9685619975703</v>
      </c>
    </row>
    <row r="281">
      <c r="A281" t="inlineStr" s="26">
        <is>
          <t xml:space="preserve">Variable cost of revenue · Cost of revenue · Conservative · Conservative</t>
        </is>
      </c>
      <c r="B281" s="8">
        <f>SUM('Model inputs'!B426,'Model inputs'!B427)</f>
        <v>294.0781279684175</v>
      </c>
      <c r="D281" s="8">
        <f>SUM('Model inputs'!D426,'Model inputs'!D427)</f>
        <v>30.572499999999998</v>
      </c>
      <c r="E281" s="8">
        <f>SUM('Model inputs'!E426,'Model inputs'!E427)</f>
        <v>59.616375000000005</v>
      </c>
      <c r="F281" s="8">
        <f>SUM('Model inputs'!F426,'Model inputs'!F427)</f>
        <v>87.28143025</v>
      </c>
      <c r="G281" s="8">
        <f>SUM('Model inputs'!G426,'Model inputs'!G427)</f>
        <v>113.70631203750001</v>
      </c>
      <c r="H281" s="8">
        <f>SUM('Model inputs'!H426,'Model inputs'!H427)</f>
        <v>139.01942516822504</v>
      </c>
      <c r="I281" s="8">
        <f>SUM('Model inputs'!I426,'Model inputs'!I427)</f>
        <v>163.33977779130376</v>
      </c>
      <c r="J281" s="8">
        <f>SUM('Model inputs'!J426,'Model inputs'!J427)</f>
        <v>186.77775940363233</v>
      </c>
      <c r="K281" s="8">
        <f>SUM('Model inputs'!K426,'Model inputs'!K427)</f>
        <v>209.43585740204355</v>
      </c>
      <c r="L281" s="8">
        <f>SUM('Model inputs'!L426,'Model inputs'!L427)</f>
        <v>231.40931712310297</v>
      </c>
      <c r="M281" s="8">
        <f>SUM('Model inputs'!M426,'Model inputs'!M427)</f>
        <v>252.78674991587434</v>
      </c>
      <c r="N281" s="8">
        <f>SUM('Model inputs'!N426,'Model inputs'!N427)</f>
        <v>273.65069343010254</v>
      </c>
    </row>
    <row r="282">
      <c r="A282" t="inlineStr" s="26">
        <is>
          <t xml:space="preserve">Verification overage revenue</t>
        </is>
      </c>
      <c r="B282" s="16">
        <f>SUM('Model inputs'!B283,'Model inputs'!B284)</f>
        <v>1241.7087318608721</v>
      </c>
      <c r="D282" s="16">
        <f>SUM('Model inputs'!D283,'Model inputs'!D284)</f>
        <v>48</v>
      </c>
      <c r="E282" s="16">
        <f>SUM('Model inputs'!E283,'Model inputs'!E284)</f>
        <v>101.76000000000002</v>
      </c>
      <c r="F282" s="16">
        <f>SUM('Model inputs'!F283,'Model inputs'!F284)</f>
        <v>162.18720000000002</v>
      </c>
      <c r="G282" s="16">
        <f>SUM('Model inputs'!G283,'Model inputs'!G284)</f>
        <v>230.32358399999998</v>
      </c>
      <c r="H282" s="16">
        <f>SUM('Model inputs'!H283,'Model inputs'!H284)</f>
        <v>307.36617648</v>
      </c>
      <c r="I282" s="16">
        <f>SUM('Model inputs'!I283,'Model inputs'!I284)</f>
        <v>394.69033618559996</v>
      </c>
      <c r="J282" s="16">
        <f>SUM('Model inputs'!J283,'Model inputs'!J284)</f>
        <v>493.87654285003185</v>
      </c>
      <c r="K282" s="16">
        <f>SUM('Model inputs'!K283,'Model inputs'!K284)</f>
        <v>606.741200827031</v>
      </c>
      <c r="L282" s="16">
        <f>SUM('Model inputs'!L283,'Model inputs'!L284)</f>
        <v>735.3720622040948</v>
      </c>
      <c r="M282" s="16">
        <f>SUM('Model inputs'!M283,'Model inputs'!M284)</f>
        <v>882.1689623501283</v>
      </c>
      <c r="N282" s="16">
        <f>SUM('Model inputs'!N283,'Model inputs'!N284)</f>
        <v>1049.890664793604</v>
      </c>
    </row>
    <row r="283" outlineLevel="1">
      <c r="A283" t="inlineStr" s="27">
        <is>
          <t xml:space="preserve">Verification overage revenue &gt; Starter</t>
        </is>
      </c>
      <c r="B283" s="8">
        <f>'Model inputs'!B215*MAX('Model inputs'!O441-'Model inputs'!O327,0)*'Model inputs'!O393</f>
        <v>206.95145531014538</v>
      </c>
      <c r="D283" s="8">
        <f>'Model inputs'!D215*MAX('Model inputs'!O441-'Model inputs'!O327,0)*'Model inputs'!O393</f>
        <v>8</v>
      </c>
      <c r="E283" s="8">
        <f>'Model inputs'!E215*MAX('Model inputs'!O441-'Model inputs'!O327,0)*'Model inputs'!O393</f>
        <v>16.960000000000004</v>
      </c>
      <c r="F283" s="8">
        <f>'Model inputs'!F215*MAX('Model inputs'!O441-'Model inputs'!O327,0)*'Model inputs'!O393</f>
        <v>27.031200000000002</v>
      </c>
      <c r="G283" s="8">
        <f>'Model inputs'!G215*MAX('Model inputs'!O441-'Model inputs'!O327,0)*'Model inputs'!O393</f>
        <v>38.387263999999995</v>
      </c>
      <c r="H283" s="8">
        <f>'Model inputs'!H215*MAX('Model inputs'!O441-'Model inputs'!O327,0)*'Model inputs'!O393</f>
        <v>51.22769608</v>
      </c>
      <c r="I283" s="8">
        <f>'Model inputs'!I215*MAX('Model inputs'!O441-'Model inputs'!O327,0)*'Model inputs'!O393</f>
        <v>65.78172269759999</v>
      </c>
      <c r="J283" s="8">
        <f>'Model inputs'!J215*MAX('Model inputs'!O441-'Model inputs'!O327,0)*'Model inputs'!O393</f>
        <v>82.31275714167198</v>
      </c>
      <c r="K283" s="8">
        <f>'Model inputs'!K215*MAX('Model inputs'!O441-'Model inputs'!O327,0)*'Model inputs'!O393</f>
        <v>101.12353347117181</v>
      </c>
      <c r="L283" s="8">
        <f>'Model inputs'!L215*MAX('Model inputs'!O441-'Model inputs'!O327,0)*'Model inputs'!O393</f>
        <v>122.56201036734916</v>
      </c>
      <c r="M283" s="8">
        <f>'Model inputs'!M215*MAX('Model inputs'!O441-'Model inputs'!O327,0)*'Model inputs'!O393</f>
        <v>147.02816039168803</v>
      </c>
      <c r="N283" s="8">
        <f>'Model inputs'!N215*MAX('Model inputs'!O441-'Model inputs'!O327,0)*'Model inputs'!O393</f>
        <v>174.98177746560066</v>
      </c>
    </row>
    <row r="284" outlineLevel="1">
      <c r="A284" t="inlineStr" s="27">
        <is>
          <t xml:space="preserve">Verification overage revenue &gt; Team</t>
        </is>
      </c>
      <c r="B284" s="8">
        <f>'Model inputs'!B216*MAX('Model inputs'!O442-'Model inputs'!O328,0)*'Model inputs'!O394</f>
        <v>1034.7572765507268</v>
      </c>
      <c r="D284" s="8">
        <f>'Model inputs'!D216*MAX('Model inputs'!O442-'Model inputs'!O328,0)*'Model inputs'!O394</f>
        <v>40</v>
      </c>
      <c r="E284" s="8">
        <f>'Model inputs'!E216*MAX('Model inputs'!O442-'Model inputs'!O328,0)*'Model inputs'!O394</f>
        <v>84.80000000000001</v>
      </c>
      <c r="F284" s="8">
        <f>'Model inputs'!F216*MAX('Model inputs'!O442-'Model inputs'!O328,0)*'Model inputs'!O394</f>
        <v>135.156</v>
      </c>
      <c r="G284" s="8">
        <f>'Model inputs'!G216*MAX('Model inputs'!O442-'Model inputs'!O328,0)*'Model inputs'!O394</f>
        <v>191.93632</v>
      </c>
      <c r="H284" s="8">
        <f>'Model inputs'!H216*MAX('Model inputs'!O442-'Model inputs'!O328,0)*'Model inputs'!O394</f>
        <v>256.1384804</v>
      </c>
      <c r="I284" s="8">
        <f>'Model inputs'!I216*MAX('Model inputs'!O442-'Model inputs'!O328,0)*'Model inputs'!O394</f>
        <v>328.90861348799996</v>
      </c>
      <c r="J284" s="8">
        <f>'Model inputs'!J216*MAX('Model inputs'!O442-'Model inputs'!O328,0)*'Model inputs'!O394</f>
        <v>411.5637857083599</v>
      </c>
      <c r="K284" s="8">
        <f>'Model inputs'!K216*MAX('Model inputs'!O442-'Model inputs'!O328,0)*'Model inputs'!O394</f>
        <v>505.6176673558591</v>
      </c>
      <c r="L284" s="8">
        <f>'Model inputs'!L216*MAX('Model inputs'!O442-'Model inputs'!O328,0)*'Model inputs'!O394</f>
        <v>612.8100518367457</v>
      </c>
      <c r="M284" s="8">
        <f>'Model inputs'!M216*MAX('Model inputs'!O442-'Model inputs'!O328,0)*'Model inputs'!O394</f>
        <v>735.1408019584402</v>
      </c>
      <c r="N284" s="8">
        <f>'Model inputs'!N216*MAX('Model inputs'!O442-'Model inputs'!O328,0)*'Model inputs'!O394</f>
        <v>874.9088873280033</v>
      </c>
    </row>
    <row r="285">
      <c r="A285" t="inlineStr" s="26">
        <is>
          <t xml:space="preserve">Verification overage revenue</t>
        </is>
      </c>
      <c r="B285" s="16">
        <f>SUM('Model inputs'!B286,'Model inputs'!B287)</f>
        <v>67.33328631217344</v>
      </c>
      <c r="D285" s="16">
        <f>SUM('Model inputs'!D286,'Model inputs'!D287)</f>
        <v>7</v>
      </c>
      <c r="E285" s="16">
        <f>SUM('Model inputs'!E286,'Model inputs'!E287)</f>
        <v>13.650000000000002</v>
      </c>
      <c r="F285" s="16">
        <f>SUM('Model inputs'!F286,'Model inputs'!F287)</f>
        <v>19.984300000000005</v>
      </c>
      <c r="G285" s="16">
        <f>SUM('Model inputs'!G286,'Model inputs'!G287)</f>
        <v>26.034645000000005</v>
      </c>
      <c r="H285" s="16">
        <f>SUM('Model inputs'!H286,'Model inputs'!H287)</f>
        <v>31.830435070000007</v>
      </c>
      <c r="I285" s="16">
        <f>SUM('Model inputs'!I286,'Model inputs'!I287)</f>
        <v>37.398918784500005</v>
      </c>
      <c r="J285" s="16">
        <f>SUM('Model inputs'!J286,'Model inputs'!J287)</f>
        <v>42.765371357443</v>
      </c>
      <c r="K285" s="16">
        <f>SUM('Model inputs'!K286,'Model inputs'!K287)</f>
        <v>47.95325870682165</v>
      </c>
      <c r="L285" s="16">
        <f>SUM('Model inputs'!L286,'Model inputs'!L287)</f>
        <v>52.98438857998923</v>
      </c>
      <c r="M285" s="16">
        <f>SUM('Model inputs'!M286,'Model inputs'!M287)</f>
        <v>57.87904978039482</v>
      </c>
      <c r="N285" s="16">
        <f>SUM('Model inputs'!N286,'Model inputs'!N287)</f>
        <v>62.65614045337209</v>
      </c>
    </row>
    <row r="286" outlineLevel="1">
      <c r="A286" t="inlineStr" s="27">
        <is>
          <t xml:space="preserve">Verification overage revenue &gt; Starter</t>
        </is>
      </c>
      <c r="B286" s="8">
        <f>'Model inputs'!B221*MAX('Model inputs'!O444-'Model inputs'!O330,0)*'Model inputs'!O396</f>
        <v>19.238081803478124</v>
      </c>
      <c r="D286" s="8">
        <f>'Model inputs'!D221*MAX('Model inputs'!O444-'Model inputs'!O330,0)*'Model inputs'!O396</f>
        <v>2</v>
      </c>
      <c r="E286" s="8">
        <f>'Model inputs'!E221*MAX('Model inputs'!O444-'Model inputs'!O330,0)*'Model inputs'!O396</f>
        <v>3.9000000000000004</v>
      </c>
      <c r="F286" s="8">
        <f>'Model inputs'!F221*MAX('Model inputs'!O444-'Model inputs'!O330,0)*'Model inputs'!O396</f>
        <v>5.709800000000001</v>
      </c>
      <c r="G286" s="8">
        <f>'Model inputs'!G221*MAX('Model inputs'!O444-'Model inputs'!O330,0)*'Model inputs'!O396</f>
        <v>7.4384700000000015</v>
      </c>
      <c r="H286" s="8">
        <f>'Model inputs'!H221*MAX('Model inputs'!O444-'Model inputs'!O330,0)*'Model inputs'!O396</f>
        <v>9.094410020000002</v>
      </c>
      <c r="I286" s="8">
        <f>'Model inputs'!I221*MAX('Model inputs'!O444-'Model inputs'!O330,0)*'Model inputs'!O396</f>
        <v>10.685405367000001</v>
      </c>
      <c r="J286" s="8">
        <f>'Model inputs'!J221*MAX('Model inputs'!O444-'Model inputs'!O330,0)*'Model inputs'!O396</f>
        <v>12.218677530698002</v>
      </c>
      <c r="K286" s="8">
        <f>'Model inputs'!K221*MAX('Model inputs'!O444-'Model inputs'!O330,0)*'Model inputs'!O396</f>
        <v>13.7009310590919</v>
      </c>
      <c r="L286" s="8">
        <f>'Model inputs'!L221*MAX('Model inputs'!O444-'Model inputs'!O330,0)*'Model inputs'!O396</f>
        <v>15.13839673713978</v>
      </c>
      <c r="M286" s="8">
        <f>'Model inputs'!M221*MAX('Model inputs'!O444-'Model inputs'!O330,0)*'Model inputs'!O396</f>
        <v>16.536871365827093</v>
      </c>
      <c r="N286" s="8">
        <f>'Model inputs'!N221*MAX('Model inputs'!O444-'Model inputs'!O330,0)*'Model inputs'!O396</f>
        <v>17.90175441524917</v>
      </c>
    </row>
    <row r="287" outlineLevel="1">
      <c r="A287" t="inlineStr" s="27">
        <is>
          <t xml:space="preserve">Verification overage revenue &gt; Team</t>
        </is>
      </c>
      <c r="B287" s="8">
        <f>'Model inputs'!B222*MAX('Model inputs'!O445-'Model inputs'!O331,0)*'Model inputs'!O397</f>
        <v>48.09520450869531</v>
      </c>
      <c r="D287" s="8">
        <f>'Model inputs'!D222*MAX('Model inputs'!O445-'Model inputs'!O331,0)*'Model inputs'!O397</f>
        <v>5</v>
      </c>
      <c r="E287" s="8">
        <f>'Model inputs'!E222*MAX('Model inputs'!O445-'Model inputs'!O331,0)*'Model inputs'!O397</f>
        <v>9.750000000000002</v>
      </c>
      <c r="F287" s="8">
        <f>'Model inputs'!F222*MAX('Model inputs'!O445-'Model inputs'!O331,0)*'Model inputs'!O397</f>
        <v>14.274500000000002</v>
      </c>
      <c r="G287" s="8">
        <f>'Model inputs'!G222*MAX('Model inputs'!O445-'Model inputs'!O331,0)*'Model inputs'!O397</f>
        <v>18.596175000000002</v>
      </c>
      <c r="H287" s="8">
        <f>'Model inputs'!H222*MAX('Model inputs'!O445-'Model inputs'!O331,0)*'Model inputs'!O397</f>
        <v>22.736025050000006</v>
      </c>
      <c r="I287" s="8">
        <f>'Model inputs'!I222*MAX('Model inputs'!O445-'Model inputs'!O331,0)*'Model inputs'!O397</f>
        <v>26.713513417500003</v>
      </c>
      <c r="J287" s="8">
        <f>'Model inputs'!J222*MAX('Model inputs'!O445-'Model inputs'!O331,0)*'Model inputs'!O397</f>
        <v>30.546693826745003</v>
      </c>
      <c r="K287" s="8">
        <f>'Model inputs'!K222*MAX('Model inputs'!O445-'Model inputs'!O331,0)*'Model inputs'!O397</f>
        <v>34.25232764772975</v>
      </c>
      <c r="L287" s="8">
        <f>'Model inputs'!L222*MAX('Model inputs'!O445-'Model inputs'!O331,0)*'Model inputs'!O397</f>
        <v>37.84599184284945</v>
      </c>
      <c r="M287" s="8">
        <f>'Model inputs'!M222*MAX('Model inputs'!O445-'Model inputs'!O331,0)*'Model inputs'!O397</f>
        <v>41.34217841456773</v>
      </c>
      <c r="N287" s="8">
        <f>'Model inputs'!N222*MAX('Model inputs'!O445-'Model inputs'!O331,0)*'Model inputs'!O397</f>
        <v>44.75438603812292</v>
      </c>
    </row>
    <row r="288">
      <c r="A288" t="inlineStr" s="26">
        <is>
          <t xml:space="preserve">Inference expense</t>
        </is>
      </c>
      <c r="B288" s="16">
        <f>IF('Model inputs'!B139="","",'Model inputs'!B139)</f>
        <v>900.6636735402334</v>
      </c>
      <c r="C288" s="16">
        <f>SUM('Model inputs'!C289,'Model inputs'!C290)</f>
        <v>0</v>
      </c>
      <c r="D288" s="16">
        <f>IF('Model inputs'!D139="","",'Model inputs'!D139)</f>
        <v>52</v>
      </c>
      <c r="E288" s="16">
        <f>IF('Model inputs'!E139="","",'Model inputs'!E139)</f>
        <v>106.60000000000002</v>
      </c>
      <c r="F288" s="16">
        <f>IF('Model inputs'!F139="","",'Model inputs'!F139)</f>
        <v>164.19000000000003</v>
      </c>
      <c r="G288" s="16">
        <f>IF('Model inputs'!G139="","",'Model inputs'!G139)</f>
        <v>225.19250000000008</v>
      </c>
      <c r="H288" s="16">
        <f>IF('Model inputs'!H139="","",'Model inputs'!H139)</f>
        <v>290.06607500000007</v>
      </c>
      <c r="I288" s="16">
        <f>IF('Model inputs'!I139="","",'Model inputs'!I139)</f>
        <v>359.3092912500001</v>
      </c>
      <c r="J288" s="16">
        <f>IF('Model inputs'!J139="","",'Model inputs'!J139)</f>
        <v>433.46499868750016</v>
      </c>
      <c r="K288" s="16">
        <f>IF('Model inputs'!K139="","",'Model inputs'!K139)</f>
        <v>513.1250379531252</v>
      </c>
      <c r="L288" s="16">
        <f>IF('Model inputs'!L139="","",'Model inputs'!L139)</f>
        <v>598.9354041754691</v>
      </c>
      <c r="M288" s="16">
        <f>IF('Model inputs'!M139="","",'Model inputs'!M139)</f>
        <v>691.6019138986957</v>
      </c>
      <c r="N288" s="16">
        <f>IF('Model inputs'!N139="","",'Model inputs'!N139)</f>
        <v>791.8964261289613</v>
      </c>
    </row>
    <row r="289" outlineLevel="1">
      <c r="A289" t="inlineStr" s="27">
        <is>
          <t xml:space="preserve">Inference expense &gt; Starter</t>
        </is>
      </c>
      <c r="B289" s="8">
        <f>IF('Model inputs'!B140="","",'Model inputs'!B140)</f>
        <v>207.84546312466924</v>
      </c>
      <c r="C289" s="8">
        <f>0</f>
        <v>0</v>
      </c>
      <c r="D289" s="8">
        <f>IF('Model inputs'!D140="","",'Model inputs'!D140)</f>
        <v>12</v>
      </c>
      <c r="E289" s="8">
        <f>IF('Model inputs'!E140="","",'Model inputs'!E140)</f>
        <v>24.600000000000005</v>
      </c>
      <c r="F289" s="8">
        <f>IF('Model inputs'!F140="","",'Model inputs'!F140)</f>
        <v>37.89000000000001</v>
      </c>
      <c r="G289" s="8">
        <f>IF('Model inputs'!G140="","",'Model inputs'!G140)</f>
        <v>51.96750000000002</v>
      </c>
      <c r="H289" s="8">
        <f>IF('Model inputs'!H140="","",'Model inputs'!H140)</f>
        <v>66.93832500000002</v>
      </c>
      <c r="I289" s="8">
        <f>IF('Model inputs'!I140="","",'Model inputs'!I140)</f>
        <v>82.91752875000003</v>
      </c>
      <c r="J289" s="8">
        <f>IF('Model inputs'!J140="","",'Model inputs'!J140)</f>
        <v>100.03038431250003</v>
      </c>
      <c r="K289" s="8">
        <f>IF('Model inputs'!K140="","",'Model inputs'!K140)</f>
        <v>118.41347029687506</v>
      </c>
      <c r="L289" s="8">
        <f>IF('Model inputs'!L140="","",'Model inputs'!L140)</f>
        <v>138.21586250203134</v>
      </c>
      <c r="M289" s="8">
        <f>IF('Model inputs'!M140="","",'Model inputs'!M140)</f>
        <v>159.6004416689298</v>
      </c>
      <c r="N289" s="8">
        <f>IF('Model inputs'!N140="","",'Model inputs'!N140)</f>
        <v>182.74532910668336</v>
      </c>
    </row>
    <row r="290" outlineLevel="1">
      <c r="A290" t="inlineStr" s="27">
        <is>
          <t xml:space="preserve">Inference expense &gt; Team</t>
        </is>
      </c>
      <c r="B290" s="8">
        <f>IF('Model inputs'!B141="","",'Model inputs'!B141)</f>
        <v>692.8182104155642</v>
      </c>
      <c r="C290" s="8">
        <f>0</f>
        <v>0</v>
      </c>
      <c r="D290" s="8">
        <f>IF('Model inputs'!D141="","",'Model inputs'!D141)</f>
        <v>40</v>
      </c>
      <c r="E290" s="8">
        <f>IF('Model inputs'!E141="","",'Model inputs'!E141)</f>
        <v>82.00000000000001</v>
      </c>
      <c r="F290" s="8">
        <f>IF('Model inputs'!F141="","",'Model inputs'!F141)</f>
        <v>126.30000000000003</v>
      </c>
      <c r="G290" s="8">
        <f>IF('Model inputs'!G141="","",'Model inputs'!G141)</f>
        <v>173.22500000000005</v>
      </c>
      <c r="H290" s="8">
        <f>IF('Model inputs'!H141="","",'Model inputs'!H141)</f>
        <v>223.12775000000008</v>
      </c>
      <c r="I290" s="8">
        <f>IF('Model inputs'!I141="","",'Model inputs'!I141)</f>
        <v>276.3917625000001</v>
      </c>
      <c r="J290" s="8">
        <f>IF('Model inputs'!J141="","",'Model inputs'!J141)</f>
        <v>333.43461437500014</v>
      </c>
      <c r="K290" s="8">
        <f>IF('Model inputs'!K141="","",'Model inputs'!K141)</f>
        <v>394.7115676562502</v>
      </c>
      <c r="L290" s="8">
        <f>IF('Model inputs'!L141="","",'Model inputs'!L141)</f>
        <v>460.7195416734378</v>
      </c>
      <c r="M290" s="8">
        <f>IF('Model inputs'!M141="","",'Model inputs'!M141)</f>
        <v>532.0014722297659</v>
      </c>
      <c r="N290" s="8">
        <f>IF('Model inputs'!N141="","",'Model inputs'!N141)</f>
        <v>609.1510970222779</v>
      </c>
    </row>
    <row r="291">
      <c r="A291" t="inlineStr" s="26">
        <is>
          <t xml:space="preserve">Monthly acquisition growth · NeatRescue — Hackathon submission · 12-month scenario comparison — hypothetical</t>
        </is>
      </c>
      <c r="P291" s="9">
        <f>'NeatRescue — Assumptions &amp; simu'!B5</f>
        <v>0.1</v>
      </c>
    </row>
    <row r="292">
      <c r="A292" t="inlineStr" s="26">
        <is>
          <t xml:space="preserve">Payment processing expense</t>
        </is>
      </c>
      <c r="B292" s="16">
        <f>IF('Model inputs'!B169="","",'Model inputs'!B169)</f>
        <v>166.79598415754705</v>
      </c>
      <c r="C292" s="16">
        <f>SUM('Model inputs'!C293,'Model inputs'!C294)</f>
        <v>0</v>
      </c>
      <c r="D292" s="16">
        <f>IF('Model inputs'!D169="","",'Model inputs'!D169)</f>
        <v>9.629999999999999</v>
      </c>
      <c r="E292" s="16">
        <f>IF('Model inputs'!E169="","",'Model inputs'!E169)</f>
        <v>19.741500000000002</v>
      </c>
      <c r="F292" s="16">
        <f>IF('Model inputs'!F169="","",'Model inputs'!F169)</f>
        <v>30.406725</v>
      </c>
      <c r="G292" s="16">
        <f>IF('Model inputs'!G169="","",'Model inputs'!G169)</f>
        <v>41.703918750000014</v>
      </c>
      <c r="H292" s="16">
        <f>IF('Model inputs'!H169="","",'Model inputs'!H169)</f>
        <v>53.71800581250001</v>
      </c>
      <c r="I292" s="16">
        <f>IF('Model inputs'!I169="","",'Model inputs'!I169)</f>
        <v>66.54131682187501</v>
      </c>
      <c r="J292" s="16">
        <f>IF('Model inputs'!J169="","",'Model inputs'!J169)</f>
        <v>80.27438341078127</v>
      </c>
      <c r="K292" s="16">
        <f>IF('Model inputs'!K169="","",'Model inputs'!K169)</f>
        <v>95.02680991324223</v>
      </c>
      <c r="L292" s="16">
        <f>IF('Model inputs'!L169="","",'Model inputs'!L169)</f>
        <v>110.91822965788012</v>
      </c>
      <c r="M292" s="16">
        <f>IF('Model inputs'!M169="","",'Model inputs'!M169)</f>
        <v>128.07935443931615</v>
      </c>
      <c r="N292" s="16">
        <f>IF('Model inputs'!N169="","",'Model inputs'!N169)</f>
        <v>146.65312660811338</v>
      </c>
    </row>
    <row r="293" outlineLevel="1">
      <c r="A293" t="inlineStr" s="27">
        <is>
          <t xml:space="preserve">Payment processing expense &gt; Starter</t>
        </is>
      </c>
      <c r="B293" s="8">
        <f>IF('Model inputs'!B170="","",'Model inputs'!B170)</f>
        <v>53.00059309679065</v>
      </c>
      <c r="C293" s="8">
        <f>0</f>
        <v>0</v>
      </c>
      <c r="D293" s="8">
        <f>IF('Model inputs'!D170="","",'Model inputs'!D170)</f>
        <v>3.06</v>
      </c>
      <c r="E293" s="8">
        <f>IF('Model inputs'!E170="","",'Model inputs'!E170)</f>
        <v>6.273000000000001</v>
      </c>
      <c r="F293" s="8">
        <f>IF('Model inputs'!F170="","",'Model inputs'!F170)</f>
        <v>9.661950000000001</v>
      </c>
      <c r="G293" s="8">
        <f>IF('Model inputs'!G170="","",'Model inputs'!G170)</f>
        <v>13.251712500000004</v>
      </c>
      <c r="H293" s="8">
        <f>IF('Model inputs'!H170="","",'Model inputs'!H170)</f>
        <v>17.069272875000003</v>
      </c>
      <c r="I293" s="8">
        <f>IF('Model inputs'!I170="","",'Model inputs'!I170)</f>
        <v>21.143969831250008</v>
      </c>
      <c r="J293" s="8">
        <f>IF('Model inputs'!J170="","",'Model inputs'!J170)</f>
        <v>25.507747999687506</v>
      </c>
      <c r="K293" s="8">
        <f>IF('Model inputs'!K170="","",'Model inputs'!K170)</f>
        <v>30.19543492570314</v>
      </c>
      <c r="L293" s="8">
        <f>IF('Model inputs'!L170="","",'Model inputs'!L170)</f>
        <v>35.24504493801799</v>
      </c>
      <c r="M293" s="8">
        <f>IF('Model inputs'!M170="","",'Model inputs'!M170)</f>
        <v>40.698112625577096</v>
      </c>
      <c r="N293" s="8">
        <f>IF('Model inputs'!N170="","",'Model inputs'!N170)</f>
        <v>46.60005892220425</v>
      </c>
    </row>
    <row r="294" outlineLevel="1">
      <c r="A294" t="inlineStr" s="27">
        <is>
          <t xml:space="preserve">Payment processing expense &gt; Team</t>
        </is>
      </c>
      <c r="B294" s="8">
        <f>IF('Model inputs'!B171="","",'Model inputs'!B171)</f>
        <v>113.7953910607564</v>
      </c>
      <c r="C294" s="8">
        <f>0</f>
        <v>0</v>
      </c>
      <c r="D294" s="8">
        <f>IF('Model inputs'!D171="","",'Model inputs'!D171)</f>
        <v>6.569999999999999</v>
      </c>
      <c r="E294" s="8">
        <f>IF('Model inputs'!E171="","",'Model inputs'!E171)</f>
        <v>13.4685</v>
      </c>
      <c r="F294" s="8">
        <f>IF('Model inputs'!F171="","",'Model inputs'!F171)</f>
        <v>20.744775</v>
      </c>
      <c r="G294" s="8">
        <f>IF('Model inputs'!G171="","",'Model inputs'!G171)</f>
        <v>28.45220625000001</v>
      </c>
      <c r="H294" s="8">
        <f>IF('Model inputs'!H171="","",'Model inputs'!H171)</f>
        <v>36.64873293750001</v>
      </c>
      <c r="I294" s="8">
        <f>IF('Model inputs'!I171="","",'Model inputs'!I171)</f>
        <v>45.39734699062501</v>
      </c>
      <c r="J294" s="8">
        <f>IF('Model inputs'!J171="","",'Model inputs'!J171)</f>
        <v>54.76663541109376</v>
      </c>
      <c r="K294" s="8">
        <f>IF('Model inputs'!K171="","",'Model inputs'!K171)</f>
        <v>64.83137498753909</v>
      </c>
      <c r="L294" s="8">
        <f>IF('Model inputs'!L171="","",'Model inputs'!L171)</f>
        <v>75.67318471986214</v>
      </c>
      <c r="M294" s="8">
        <f>IF('Model inputs'!M171="","",'Model inputs'!M171)</f>
        <v>87.38124181373904</v>
      </c>
      <c r="N294" s="8">
        <f>IF('Model inputs'!N171="","",'Model inputs'!N171)</f>
        <v>100.05306768590913</v>
      </c>
    </row>
    <row r="295">
      <c r="A295" t="inlineStr" s="26">
        <is>
          <t xml:space="preserve">Variable compute expense</t>
        </is>
      </c>
      <c r="B295" s="16">
        <f>IF('Model inputs'!B172="","",'Model inputs'!B172)</f>
        <v>270.19910206207</v>
      </c>
      <c r="C295" s="16">
        <f>SUM('Model inputs'!C296,'Model inputs'!C297)</f>
        <v>0</v>
      </c>
      <c r="D295" s="16">
        <f>IF('Model inputs'!D172="","",'Model inputs'!D172)</f>
        <v>15.6</v>
      </c>
      <c r="E295" s="16">
        <f>IF('Model inputs'!E172="","",'Model inputs'!E172)</f>
        <v>31.980000000000004</v>
      </c>
      <c r="F295" s="16">
        <f>IF('Model inputs'!F172="","",'Model inputs'!F172)</f>
        <v>49.25700000000001</v>
      </c>
      <c r="G295" s="16">
        <f>IF('Model inputs'!G172="","",'Model inputs'!G172)</f>
        <v>67.55775000000001</v>
      </c>
      <c r="H295" s="16">
        <f>IF('Model inputs'!H172="","",'Model inputs'!H172)</f>
        <v>87.01982250000003</v>
      </c>
      <c r="I295" s="16">
        <f>IF('Model inputs'!I172="","",'Model inputs'!I172)</f>
        <v>107.79278737500005</v>
      </c>
      <c r="J295" s="16">
        <f>IF('Model inputs'!J172="","",'Model inputs'!J172)</f>
        <v>130.03949960625002</v>
      </c>
      <c r="K295" s="16">
        <f>IF('Model inputs'!K172="","",'Model inputs'!K172)</f>
        <v>153.93751138593757</v>
      </c>
      <c r="L295" s="16">
        <f>IF('Model inputs'!L172="","",'Model inputs'!L172)</f>
        <v>179.68062125264072</v>
      </c>
      <c r="M295" s="16">
        <f>IF('Model inputs'!M172="","",'Model inputs'!M172)</f>
        <v>207.4805741696087</v>
      </c>
      <c r="N295" s="16">
        <f>IF('Model inputs'!N172="","",'Model inputs'!N172)</f>
        <v>237.56892783868832</v>
      </c>
    </row>
    <row r="296" outlineLevel="1">
      <c r="A296" t="inlineStr" s="27">
        <is>
          <t xml:space="preserve">Variable compute expense &gt; Starter</t>
        </is>
      </c>
      <c r="B296" s="8">
        <f>IF('Model inputs'!B173="","",'Model inputs'!B173)</f>
        <v>62.35363893740077</v>
      </c>
      <c r="C296" s="8">
        <f>0</f>
        <v>0</v>
      </c>
      <c r="D296" s="8">
        <f>IF('Model inputs'!D173="","",'Model inputs'!D173)</f>
        <v>3.5999999999999996</v>
      </c>
      <c r="E296" s="8">
        <f>IF('Model inputs'!E173="","",'Model inputs'!E173)</f>
        <v>7.380000000000001</v>
      </c>
      <c r="F296" s="8">
        <f>IF('Model inputs'!F173="","",'Model inputs'!F173)</f>
        <v>11.367000000000003</v>
      </c>
      <c r="G296" s="8">
        <f>IF('Model inputs'!G173="","",'Model inputs'!G173)</f>
        <v>15.590250000000005</v>
      </c>
      <c r="H296" s="8">
        <f>IF('Model inputs'!H173="","",'Model inputs'!H173)</f>
        <v>20.081497500000005</v>
      </c>
      <c r="I296" s="8">
        <f>IF('Model inputs'!I173="","",'Model inputs'!I173)</f>
        <v>24.875258625000008</v>
      </c>
      <c r="J296" s="8">
        <f>IF('Model inputs'!J173="","",'Model inputs'!J173)</f>
        <v>30.009115293750007</v>
      </c>
      <c r="K296" s="8">
        <f>IF('Model inputs'!K173="","",'Model inputs'!K173)</f>
        <v>35.524041089062514</v>
      </c>
      <c r="L296" s="8">
        <f>IF('Model inputs'!L173="","",'Model inputs'!L173)</f>
        <v>41.4647587506094</v>
      </c>
      <c r="M296" s="8">
        <f>IF('Model inputs'!M173="","",'Model inputs'!M173)</f>
        <v>47.88013250067893</v>
      </c>
      <c r="N296" s="8">
        <f>IF('Model inputs'!N173="","",'Model inputs'!N173)</f>
        <v>54.823598732004996</v>
      </c>
    </row>
    <row r="297" outlineLevel="1">
      <c r="A297" t="inlineStr" s="27">
        <is>
          <t xml:space="preserve">Variable compute expense &gt; Team</t>
        </is>
      </c>
      <c r="B297" s="8">
        <f>IF('Model inputs'!B174="","",'Model inputs'!B174)</f>
        <v>207.84546312466924</v>
      </c>
      <c r="C297" s="8">
        <f>0</f>
        <v>0</v>
      </c>
      <c r="D297" s="8">
        <f>IF('Model inputs'!D174="","",'Model inputs'!D174)</f>
        <v>12</v>
      </c>
      <c r="E297" s="8">
        <f>IF('Model inputs'!E174="","",'Model inputs'!E174)</f>
        <v>24.6</v>
      </c>
      <c r="F297" s="8">
        <f>IF('Model inputs'!F174="","",'Model inputs'!F174)</f>
        <v>37.89000000000001</v>
      </c>
      <c r="G297" s="8">
        <f>IF('Model inputs'!G174="","",'Model inputs'!G174)</f>
        <v>51.96750000000001</v>
      </c>
      <c r="H297" s="8">
        <f>IF('Model inputs'!H174="","",'Model inputs'!H174)</f>
        <v>66.93832500000002</v>
      </c>
      <c r="I297" s="8">
        <f>IF('Model inputs'!I174="","",'Model inputs'!I174)</f>
        <v>82.91752875000003</v>
      </c>
      <c r="J297" s="8">
        <f>IF('Model inputs'!J174="","",'Model inputs'!J174)</f>
        <v>100.03038431250002</v>
      </c>
      <c r="K297" s="8">
        <f>IF('Model inputs'!K174="","",'Model inputs'!K174)</f>
        <v>118.41347029687505</v>
      </c>
      <c r="L297" s="8">
        <f>IF('Model inputs'!L174="","",'Model inputs'!L174)</f>
        <v>138.2158625020313</v>
      </c>
      <c r="M297" s="8">
        <f>IF('Model inputs'!M174="","",'Model inputs'!M174)</f>
        <v>159.60044166892976</v>
      </c>
      <c r="N297" s="8">
        <f>IF('Model inputs'!N174="","",'Model inputs'!N174)</f>
        <v>182.74532910668333</v>
      </c>
    </row>
    <row r="298">
      <c r="A298" t="inlineStr" s="26">
        <is>
          <t xml:space="preserve">Variable logging expense</t>
        </is>
      </c>
      <c r="B298" s="16">
        <f>IF('Model inputs'!B175="","",'Model inputs'!B175)</f>
        <v>90.06636735402333</v>
      </c>
      <c r="C298" s="16">
        <f>SUM('Model inputs'!C299,'Model inputs'!C300)</f>
        <v>0</v>
      </c>
      <c r="D298" s="16">
        <f>IF('Model inputs'!D175="","",'Model inputs'!D175)</f>
        <v>5.2</v>
      </c>
      <c r="E298" s="16">
        <f>IF('Model inputs'!E175="","",'Model inputs'!E175)</f>
        <v>10.660000000000002</v>
      </c>
      <c r="F298" s="16">
        <f>IF('Model inputs'!F175="","",'Model inputs'!F175)</f>
        <v>16.419000000000004</v>
      </c>
      <c r="G298" s="16">
        <f>IF('Model inputs'!G175="","",'Model inputs'!G175)</f>
        <v>22.519250000000007</v>
      </c>
      <c r="H298" s="16">
        <f>IF('Model inputs'!H175="","",'Model inputs'!H175)</f>
        <v>29.00660750000001</v>
      </c>
      <c r="I298" s="16">
        <f>IF('Model inputs'!I175="","",'Model inputs'!I175)</f>
        <v>35.93092912500001</v>
      </c>
      <c r="J298" s="16">
        <f>IF('Model inputs'!J175="","",'Model inputs'!J175)</f>
        <v>43.346499868750016</v>
      </c>
      <c r="K298" s="16">
        <f>IF('Model inputs'!K175="","",'Model inputs'!K175)</f>
        <v>51.31250379531252</v>
      </c>
      <c r="L298" s="16">
        <f>IF('Model inputs'!L175="","",'Model inputs'!L175)</f>
        <v>59.89354041754691</v>
      </c>
      <c r="M298" s="16">
        <f>IF('Model inputs'!M175="","",'Model inputs'!M175)</f>
        <v>69.16019138986958</v>
      </c>
      <c r="N298" s="16">
        <f>IF('Model inputs'!N175="","",'Model inputs'!N175)</f>
        <v>79.18964261289611</v>
      </c>
    </row>
    <row r="299" outlineLevel="1">
      <c r="A299" t="inlineStr" s="27">
        <is>
          <t xml:space="preserve">Variable logging expense &gt; Starter</t>
        </is>
      </c>
      <c r="B299" s="8">
        <f>IF('Model inputs'!B176="","",'Model inputs'!B176)</f>
        <v>20.784546312466922</v>
      </c>
      <c r="C299" s="8">
        <f>0</f>
        <v>0</v>
      </c>
      <c r="D299" s="8">
        <f>IF('Model inputs'!D176="","",'Model inputs'!D176)</f>
        <v>1.2</v>
      </c>
      <c r="E299" s="8">
        <f>IF('Model inputs'!E176="","",'Model inputs'!E176)</f>
        <v>2.4600000000000004</v>
      </c>
      <c r="F299" s="8">
        <f>IF('Model inputs'!F176="","",'Model inputs'!F176)</f>
        <v>3.789000000000001</v>
      </c>
      <c r="G299" s="8">
        <f>IF('Model inputs'!G176="","",'Model inputs'!G176)</f>
        <v>5.1967500000000015</v>
      </c>
      <c r="H299" s="8">
        <f>IF('Model inputs'!H176="","",'Model inputs'!H176)</f>
        <v>6.693832500000002</v>
      </c>
      <c r="I299" s="8">
        <f>IF('Model inputs'!I176="","",'Model inputs'!I176)</f>
        <v>8.291752875000004</v>
      </c>
      <c r="J299" s="8">
        <f>IF('Model inputs'!J176="","",'Model inputs'!J176)</f>
        <v>10.003038431250003</v>
      </c>
      <c r="K299" s="8">
        <f>IF('Model inputs'!K176="","",'Model inputs'!K176)</f>
        <v>11.841347029687507</v>
      </c>
      <c r="L299" s="8">
        <f>IF('Model inputs'!L176="","",'Model inputs'!L176)</f>
        <v>13.821586250203135</v>
      </c>
      <c r="M299" s="8">
        <f>IF('Model inputs'!M176="","",'Model inputs'!M176)</f>
        <v>15.96004416689298</v>
      </c>
      <c r="N299" s="8">
        <f>IF('Model inputs'!N176="","",'Model inputs'!N176)</f>
        <v>18.274532910668334</v>
      </c>
    </row>
    <row r="300" outlineLevel="1">
      <c r="A300" t="inlineStr" s="27">
        <is>
          <t xml:space="preserve">Variable logging expense &gt; Team</t>
        </is>
      </c>
      <c r="B300" s="8">
        <f>IF('Model inputs'!B177="","",'Model inputs'!B177)</f>
        <v>69.28182104155641</v>
      </c>
      <c r="C300" s="8">
        <f>0</f>
        <v>0</v>
      </c>
      <c r="D300" s="8">
        <f>IF('Model inputs'!D177="","",'Model inputs'!D177)</f>
        <v>4</v>
      </c>
      <c r="E300" s="8">
        <f>IF('Model inputs'!E177="","",'Model inputs'!E177)</f>
        <v>8.200000000000001</v>
      </c>
      <c r="F300" s="8">
        <f>IF('Model inputs'!F177="","",'Model inputs'!F177)</f>
        <v>12.630000000000003</v>
      </c>
      <c r="G300" s="8">
        <f>IF('Model inputs'!G177="","",'Model inputs'!G177)</f>
        <v>17.322500000000005</v>
      </c>
      <c r="H300" s="8">
        <f>IF('Model inputs'!H177="","",'Model inputs'!H177)</f>
        <v>22.312775000000006</v>
      </c>
      <c r="I300" s="8">
        <f>IF('Model inputs'!I177="","",'Model inputs'!I177)</f>
        <v>27.63917625000001</v>
      </c>
      <c r="J300" s="8">
        <f>IF('Model inputs'!J177="","",'Model inputs'!J177)</f>
        <v>33.34346143750001</v>
      </c>
      <c r="K300" s="8">
        <f>IF('Model inputs'!K177="","",'Model inputs'!K177)</f>
        <v>39.47115676562502</v>
      </c>
      <c r="L300" s="8">
        <f>IF('Model inputs'!L177="","",'Model inputs'!L177)</f>
        <v>46.071954167343776</v>
      </c>
      <c r="M300" s="8">
        <f>IF('Model inputs'!M177="","",'Model inputs'!M177)</f>
        <v>53.2001472229766</v>
      </c>
      <c r="N300" s="8">
        <f>IF('Model inputs'!N177="","",'Model inputs'!N177)</f>
        <v>60.91510970222778</v>
      </c>
    </row>
    <row r="301">
      <c r="A301" t="inlineStr" s="26">
        <is>
          <t xml:space="preserve">Variable support expense</t>
        </is>
      </c>
      <c r="B301" s="16">
        <f>IF('Model inputs'!B178="","",'Model inputs'!B178)</f>
        <v>277.12728416622565</v>
      </c>
      <c r="C301" s="16">
        <f>SUM('Model inputs'!C302,'Model inputs'!C303)</f>
        <v>0</v>
      </c>
      <c r="D301" s="16">
        <f>IF('Model inputs'!D178="","",'Model inputs'!D178)</f>
        <v>16</v>
      </c>
      <c r="E301" s="16">
        <f>IF('Model inputs'!E178="","",'Model inputs'!E178)</f>
        <v>32.800000000000004</v>
      </c>
      <c r="F301" s="16">
        <f>IF('Model inputs'!F178="","",'Model inputs'!F178)</f>
        <v>50.52000000000001</v>
      </c>
      <c r="G301" s="16">
        <f>IF('Model inputs'!G178="","",'Model inputs'!G178)</f>
        <v>69.29000000000002</v>
      </c>
      <c r="H301" s="16">
        <f>IF('Model inputs'!H178="","",'Model inputs'!H178)</f>
        <v>89.25110000000002</v>
      </c>
      <c r="I301" s="16">
        <f>IF('Model inputs'!I178="","",'Model inputs'!I178)</f>
        <v>110.55670500000004</v>
      </c>
      <c r="J301" s="16">
        <f>IF('Model inputs'!J178="","",'Model inputs'!J178)</f>
        <v>133.37384575000004</v>
      </c>
      <c r="K301" s="16">
        <f>IF('Model inputs'!K178="","",'Model inputs'!K178)</f>
        <v>157.88462706250007</v>
      </c>
      <c r="L301" s="16">
        <f>IF('Model inputs'!L178="","",'Model inputs'!L178)</f>
        <v>184.2878166693751</v>
      </c>
      <c r="M301" s="16">
        <f>IF('Model inputs'!M178="","",'Model inputs'!M178)</f>
        <v>212.8005888919064</v>
      </c>
      <c r="N301" s="16">
        <f>IF('Model inputs'!N178="","",'Model inputs'!N178)</f>
        <v>243.66043880891112</v>
      </c>
    </row>
    <row r="302" outlineLevel="1">
      <c r="A302" t="inlineStr" s="27">
        <is>
          <t xml:space="preserve">Variable support expense &gt; Starter</t>
        </is>
      </c>
      <c r="B302" s="8">
        <f>IF('Model inputs'!B179="","",'Model inputs'!B179)</f>
        <v>69.28182104155641</v>
      </c>
      <c r="C302" s="8">
        <f>0</f>
        <v>0</v>
      </c>
      <c r="D302" s="8">
        <f>IF('Model inputs'!D179="","",'Model inputs'!D179)</f>
        <v>4</v>
      </c>
      <c r="E302" s="8">
        <f>IF('Model inputs'!E179="","",'Model inputs'!E179)</f>
        <v>8.200000000000001</v>
      </c>
      <c r="F302" s="8">
        <f>IF('Model inputs'!F179="","",'Model inputs'!F179)</f>
        <v>12.630000000000003</v>
      </c>
      <c r="G302" s="8">
        <f>IF('Model inputs'!G179="","",'Model inputs'!G179)</f>
        <v>17.322500000000005</v>
      </c>
      <c r="H302" s="8">
        <f>IF('Model inputs'!H179="","",'Model inputs'!H179)</f>
        <v>22.312775000000006</v>
      </c>
      <c r="I302" s="8">
        <f>IF('Model inputs'!I179="","",'Model inputs'!I179)</f>
        <v>27.63917625000001</v>
      </c>
      <c r="J302" s="8">
        <f>IF('Model inputs'!J179="","",'Model inputs'!J179)</f>
        <v>33.34346143750001</v>
      </c>
      <c r="K302" s="8">
        <f>IF('Model inputs'!K179="","",'Model inputs'!K179)</f>
        <v>39.47115676562502</v>
      </c>
      <c r="L302" s="8">
        <f>IF('Model inputs'!L179="","",'Model inputs'!L179)</f>
        <v>46.071954167343776</v>
      </c>
      <c r="M302" s="8">
        <f>IF('Model inputs'!M179="","",'Model inputs'!M179)</f>
        <v>53.2001472229766</v>
      </c>
      <c r="N302" s="8">
        <f>IF('Model inputs'!N179="","",'Model inputs'!N179)</f>
        <v>60.91510970222778</v>
      </c>
    </row>
    <row r="303" outlineLevel="1">
      <c r="A303" t="inlineStr" s="27">
        <is>
          <t xml:space="preserve">Variable support expense &gt; Team</t>
        </is>
      </c>
      <c r="B303" s="8">
        <f>IF('Model inputs'!B180="","",'Model inputs'!B180)</f>
        <v>207.84546312466924</v>
      </c>
      <c r="C303" s="8">
        <f>0</f>
        <v>0</v>
      </c>
      <c r="D303" s="8">
        <f>IF('Model inputs'!D180="","",'Model inputs'!D180)</f>
        <v>12</v>
      </c>
      <c r="E303" s="8">
        <f>IF('Model inputs'!E180="","",'Model inputs'!E180)</f>
        <v>24.6</v>
      </c>
      <c r="F303" s="8">
        <f>IF('Model inputs'!F180="","",'Model inputs'!F180)</f>
        <v>37.89000000000001</v>
      </c>
      <c r="G303" s="8">
        <f>IF('Model inputs'!G180="","",'Model inputs'!G180)</f>
        <v>51.967500000000015</v>
      </c>
      <c r="H303" s="8">
        <f>IF('Model inputs'!H180="","",'Model inputs'!H180)</f>
        <v>66.93832500000002</v>
      </c>
      <c r="I303" s="8">
        <f>IF('Model inputs'!I180="","",'Model inputs'!I180)</f>
        <v>82.91752875000003</v>
      </c>
      <c r="J303" s="8">
        <f>IF('Model inputs'!J180="","",'Model inputs'!J180)</f>
        <v>100.03038431250003</v>
      </c>
      <c r="K303" s="8">
        <f>IF('Model inputs'!K180="","",'Model inputs'!K180)</f>
        <v>118.41347029687506</v>
      </c>
      <c r="L303" s="8">
        <f>IF('Model inputs'!L180="","",'Model inputs'!L180)</f>
        <v>138.2158625020313</v>
      </c>
      <c r="M303" s="8">
        <f>IF('Model inputs'!M180="","",'Model inputs'!M180)</f>
        <v>159.6004416689298</v>
      </c>
      <c r="N303" s="8">
        <f>IF('Model inputs'!N180="","",'Model inputs'!N180)</f>
        <v>182.74532910668336</v>
      </c>
    </row>
    <row r="304">
      <c r="A304" t="inlineStr" s="26">
        <is>
          <t xml:space="preserve">Churned customers</t>
        </is>
      </c>
      <c r="B304" s="6">
        <f>SUM('Model inputs'!B305,'Model inputs'!B306)</f>
        <v>0</v>
      </c>
      <c r="C304" s="6">
        <f>SUM('Model inputs'!C305,'Model inputs'!C306)</f>
        <v>0</v>
      </c>
      <c r="D304" s="6">
        <f>SUM('Model inputs'!D305,'Model inputs'!D306)</f>
        <v>0</v>
      </c>
      <c r="E304" s="6">
        <f>SUM('Model inputs'!E305,'Model inputs'!E306)</f>
        <v>0</v>
      </c>
      <c r="F304" s="6">
        <f>SUM('Model inputs'!F305,'Model inputs'!F306)</f>
        <v>0</v>
      </c>
      <c r="G304" s="6">
        <f>SUM('Model inputs'!G305,'Model inputs'!G306)</f>
        <v>0</v>
      </c>
      <c r="H304" s="6">
        <f>SUM('Model inputs'!H305,'Model inputs'!H306)</f>
        <v>0</v>
      </c>
      <c r="I304" s="6">
        <f>SUM('Model inputs'!I305,'Model inputs'!I306)</f>
        <v>0</v>
      </c>
      <c r="J304" s="6">
        <f>SUM('Model inputs'!J305,'Model inputs'!J306)</f>
        <v>0</v>
      </c>
      <c r="K304" s="6">
        <f>SUM('Model inputs'!K305,'Model inputs'!K306)</f>
        <v>0</v>
      </c>
      <c r="L304" s="6">
        <f>SUM('Model inputs'!L305,'Model inputs'!L306)</f>
        <v>0</v>
      </c>
      <c r="M304" s="6">
        <f>SUM('Model inputs'!M305,'Model inputs'!M306)</f>
        <v>0</v>
      </c>
      <c r="N304" s="6">
        <f>SUM('Model inputs'!N305,'Model inputs'!N306)</f>
        <v>0</v>
      </c>
    </row>
    <row r="305" outlineLevel="1">
      <c r="A305" t="inlineStr" s="27">
        <is>
          <t xml:space="preserve">Churned customers &gt; Starter</t>
        </is>
      </c>
      <c r="B305" s="9">
        <f>'Model inputs'!B379*'Model inputs'!O489</f>
        <v>0</v>
      </c>
      <c r="C305" s="9">
        <f>'Model inputs'!C100</f>
        <v>0</v>
      </c>
      <c r="D305" s="9">
        <f>'Model inputs'!D379*'Model inputs'!O489</f>
        <v>0</v>
      </c>
      <c r="E305" s="9">
        <f>'Model inputs'!E379*'Model inputs'!O489</f>
        <v>0</v>
      </c>
      <c r="F305" s="9">
        <f>'Model inputs'!F379*'Model inputs'!O489</f>
        <v>0</v>
      </c>
      <c r="G305" s="9">
        <f>'Model inputs'!G379*'Model inputs'!O489</f>
        <v>0</v>
      </c>
      <c r="H305" s="9">
        <f>'Model inputs'!H379*'Model inputs'!O489</f>
        <v>0</v>
      </c>
      <c r="I305" s="9">
        <f>'Model inputs'!I379*'Model inputs'!O489</f>
        <v>0</v>
      </c>
      <c r="J305" s="9">
        <f>'Model inputs'!J379*'Model inputs'!O489</f>
        <v>0</v>
      </c>
      <c r="K305" s="9">
        <f>'Model inputs'!K379*'Model inputs'!O489</f>
        <v>0</v>
      </c>
      <c r="L305" s="9">
        <f>'Model inputs'!L379*'Model inputs'!O489</f>
        <v>0</v>
      </c>
      <c r="M305" s="9">
        <f>'Model inputs'!M379*'Model inputs'!O489</f>
        <v>0</v>
      </c>
      <c r="N305" s="9">
        <f>'Model inputs'!N379*'Model inputs'!O489</f>
        <v>0</v>
      </c>
    </row>
    <row r="306" outlineLevel="1">
      <c r="A306" t="inlineStr" s="27">
        <is>
          <t xml:space="preserve">Churned customers &gt; Team</t>
        </is>
      </c>
      <c r="B306" s="9">
        <f>'Model inputs'!B380*'Model inputs'!O489</f>
        <v>0</v>
      </c>
      <c r="C306" s="9">
        <f>'Model inputs'!C101</f>
        <v>0</v>
      </c>
      <c r="D306" s="9">
        <f>'Model inputs'!D380*'Model inputs'!O489</f>
        <v>0</v>
      </c>
      <c r="E306" s="9">
        <f>'Model inputs'!E380*'Model inputs'!O489</f>
        <v>0</v>
      </c>
      <c r="F306" s="9">
        <f>'Model inputs'!F380*'Model inputs'!O489</f>
        <v>0</v>
      </c>
      <c r="G306" s="9">
        <f>'Model inputs'!G380*'Model inputs'!O489</f>
        <v>0</v>
      </c>
      <c r="H306" s="9">
        <f>'Model inputs'!H380*'Model inputs'!O489</f>
        <v>0</v>
      </c>
      <c r="I306" s="9">
        <f>'Model inputs'!I380*'Model inputs'!O489</f>
        <v>0</v>
      </c>
      <c r="J306" s="9">
        <f>'Model inputs'!J380*'Model inputs'!O489</f>
        <v>0</v>
      </c>
      <c r="K306" s="9">
        <f>'Model inputs'!K380*'Model inputs'!O489</f>
        <v>0</v>
      </c>
      <c r="L306" s="9">
        <f>'Model inputs'!L380*'Model inputs'!O489</f>
        <v>0</v>
      </c>
      <c r="M306" s="9">
        <f>'Model inputs'!M380*'Model inputs'!O489</f>
        <v>0</v>
      </c>
      <c r="N306" s="9">
        <f>'Model inputs'!N380*'Model inputs'!O489</f>
        <v>0</v>
      </c>
    </row>
    <row r="307">
      <c r="A307" t="inlineStr" s="26">
        <is>
          <t xml:space="preserve">Churned customers</t>
        </is>
      </c>
      <c r="B307" s="6">
        <f>SUM('Model inputs'!B308,'Model inputs'!B309)</f>
        <v>3.9370899929760137</v>
      </c>
      <c r="C307" s="6">
        <f>SUM('Model inputs'!C308,'Model inputs'!C309)</f>
        <v>0</v>
      </c>
      <c r="D307" s="6">
        <f>SUM('Model inputs'!D308,'Model inputs'!D309)</f>
        <v>0</v>
      </c>
      <c r="E307" s="6">
        <f>SUM('Model inputs'!E308,'Model inputs'!E309)</f>
        <v>0.18</v>
      </c>
      <c r="F307" s="6">
        <f>SUM('Model inputs'!F308,'Model inputs'!F309)</f>
        <v>0.38160000000000005</v>
      </c>
      <c r="G307" s="6">
        <f>SUM('Model inputs'!G308,'Model inputs'!G309)</f>
        <v>0.6082019999999999</v>
      </c>
      <c r="H307" s="6">
        <f>SUM('Model inputs'!H308,'Model inputs'!H309)</f>
        <v>0.8637134399999999</v>
      </c>
      <c r="I307" s="6">
        <f>SUM('Model inputs'!I308,'Model inputs'!I309)</f>
        <v>1.1526231617999998</v>
      </c>
      <c r="J307" s="6">
        <f>SUM('Model inputs'!J308,'Model inputs'!J309)</f>
        <v>1.4800887606959998</v>
      </c>
      <c r="K307" s="6">
        <f>SUM('Model inputs'!K308,'Model inputs'!K309)</f>
        <v>1.8520370356876197</v>
      </c>
      <c r="L307" s="6">
        <f>SUM('Model inputs'!L308,'Model inputs'!L309)</f>
        <v>2.2752795031013653</v>
      </c>
      <c r="M307" s="6">
        <f>SUM('Model inputs'!M308,'Model inputs'!M309)</f>
        <v>2.7576452332653556</v>
      </c>
      <c r="N307" s="6">
        <f>SUM('Model inputs'!N308,'Model inputs'!N309)</f>
        <v>3.3081336088129807</v>
      </c>
    </row>
    <row r="308" outlineLevel="1">
      <c r="A308" t="inlineStr" s="27">
        <is>
          <t xml:space="preserve">Churned customers &gt; Starter</t>
        </is>
      </c>
      <c r="B308" s="9">
        <f>'Model inputs'!B382*'Model inputs'!O490</f>
        <v>2.6247266619840093</v>
      </c>
      <c r="C308" s="9">
        <f>'Model inputs'!C100</f>
        <v>0</v>
      </c>
      <c r="D308" s="9">
        <f>'Model inputs'!D382*'Model inputs'!O490</f>
        <v>0</v>
      </c>
      <c r="E308" s="9">
        <f>'Model inputs'!E382*'Model inputs'!O490</f>
        <v>0.12</v>
      </c>
      <c r="F308" s="9">
        <f>'Model inputs'!F382*'Model inputs'!O490</f>
        <v>0.2544</v>
      </c>
      <c r="G308" s="9">
        <f>'Model inputs'!G382*'Model inputs'!O490</f>
        <v>0.40546799999999994</v>
      </c>
      <c r="H308" s="9">
        <f>'Model inputs'!H382*'Model inputs'!O490</f>
        <v>0.5758089599999999</v>
      </c>
      <c r="I308" s="9">
        <f>'Model inputs'!I382*'Model inputs'!O490</f>
        <v>0.7684154411999999</v>
      </c>
      <c r="J308" s="9">
        <f>'Model inputs'!J382*'Model inputs'!O490</f>
        <v>0.9867258404639998</v>
      </c>
      <c r="K308" s="9">
        <f>'Model inputs'!K382*'Model inputs'!O490</f>
        <v>1.2346913571250797</v>
      </c>
      <c r="L308" s="9">
        <f>'Model inputs'!L382*'Model inputs'!O490</f>
        <v>1.516853002067577</v>
      </c>
      <c r="M308" s="9">
        <f>'Model inputs'!M382*'Model inputs'!O490</f>
        <v>1.8384301555102371</v>
      </c>
      <c r="N308" s="9">
        <f>'Model inputs'!N382*'Model inputs'!O490</f>
        <v>2.2054224058753205</v>
      </c>
    </row>
    <row r="309" outlineLevel="1">
      <c r="A309" t="inlineStr" s="27">
        <is>
          <t xml:space="preserve">Churned customers &gt; Team</t>
        </is>
      </c>
      <c r="B309" s="9">
        <f>'Model inputs'!B383*'Model inputs'!O490</f>
        <v>1.3123633309920046</v>
      </c>
      <c r="C309" s="9">
        <f>'Model inputs'!C101</f>
        <v>0</v>
      </c>
      <c r="D309" s="9">
        <f>'Model inputs'!D383*'Model inputs'!O490</f>
        <v>0</v>
      </c>
      <c r="E309" s="9">
        <f>'Model inputs'!E383*'Model inputs'!O490</f>
        <v>0.06</v>
      </c>
      <c r="F309" s="9">
        <f>'Model inputs'!F383*'Model inputs'!O490</f>
        <v>0.1272</v>
      </c>
      <c r="G309" s="9">
        <f>'Model inputs'!G383*'Model inputs'!O490</f>
        <v>0.20273399999999997</v>
      </c>
      <c r="H309" s="9">
        <f>'Model inputs'!H383*'Model inputs'!O490</f>
        <v>0.28790447999999996</v>
      </c>
      <c r="I309" s="9">
        <f>'Model inputs'!I383*'Model inputs'!O490</f>
        <v>0.38420772059999997</v>
      </c>
      <c r="J309" s="9">
        <f>'Model inputs'!J383*'Model inputs'!O490</f>
        <v>0.4933629202319999</v>
      </c>
      <c r="K309" s="9">
        <f>'Model inputs'!K383*'Model inputs'!O490</f>
        <v>0.6173456785625399</v>
      </c>
      <c r="L309" s="9">
        <f>'Model inputs'!L383*'Model inputs'!O490</f>
        <v>0.7584265010337885</v>
      </c>
      <c r="M309" s="9">
        <f>'Model inputs'!M383*'Model inputs'!O490</f>
        <v>0.9192150777551186</v>
      </c>
      <c r="N309" s="9">
        <f>'Model inputs'!N383*'Model inputs'!O490</f>
        <v>1.1027112029376602</v>
      </c>
    </row>
    <row r="310">
      <c r="A310" t="inlineStr" s="26">
        <is>
          <t xml:space="preserve">Churned customers</t>
        </is>
      </c>
      <c r="B310" s="6">
        <f>SUM('Model inputs'!B311,'Model inputs'!B312)</f>
        <v>2.284316613833542</v>
      </c>
      <c r="C310" s="6">
        <f>SUM('Model inputs'!C311,'Model inputs'!C312)</f>
        <v>0</v>
      </c>
      <c r="D310" s="6">
        <f>SUM('Model inputs'!D311,'Model inputs'!D312)</f>
        <v>0</v>
      </c>
      <c r="E310" s="6">
        <f>SUM('Model inputs'!E311,'Model inputs'!E312)</f>
        <v>0.15000000000000002</v>
      </c>
      <c r="F310" s="6">
        <f>SUM('Model inputs'!F311,'Model inputs'!F312)</f>
        <v>0.30750000000000005</v>
      </c>
      <c r="G310" s="6">
        <f>SUM('Model inputs'!G311,'Model inputs'!G312)</f>
        <v>0.47362500000000013</v>
      </c>
      <c r="H310" s="6">
        <f>SUM('Model inputs'!H311,'Model inputs'!H312)</f>
        <v>0.6495937500000002</v>
      </c>
      <c r="I310" s="6">
        <f>SUM('Model inputs'!I311,'Model inputs'!I312)</f>
        <v>0.8367290625000001</v>
      </c>
      <c r="J310" s="6">
        <f>SUM('Model inputs'!J311,'Model inputs'!J312)</f>
        <v>1.0364691093750005</v>
      </c>
      <c r="K310" s="6">
        <f>SUM('Model inputs'!K311,'Model inputs'!K312)</f>
        <v>1.2503798039062506</v>
      </c>
      <c r="L310" s="6">
        <f>SUM('Model inputs'!L311,'Model inputs'!L312)</f>
        <v>1.4801683787109383</v>
      </c>
      <c r="M310" s="6">
        <f>SUM('Model inputs'!M311,'Model inputs'!M312)</f>
        <v>1.7276982812753916</v>
      </c>
      <c r="N310" s="6">
        <f>SUM('Model inputs'!N311,'Model inputs'!N312)</f>
        <v>1.9950055208616226</v>
      </c>
    </row>
    <row r="311" outlineLevel="1">
      <c r="A311" t="inlineStr" s="27">
        <is>
          <t xml:space="preserve">Churned customers &gt; Starter</t>
        </is>
      </c>
      <c r="B311" s="9">
        <f>'Model inputs'!B385*'Model inputs'!O491</f>
        <v>1.5228777425556945</v>
      </c>
      <c r="C311" s="9">
        <f>'Model inputs'!C100</f>
        <v>0</v>
      </c>
      <c r="D311" s="9">
        <f>'Model inputs'!D385*'Model inputs'!O491</f>
        <v>0</v>
      </c>
      <c r="E311" s="9">
        <f>'Model inputs'!E385*'Model inputs'!O491</f>
        <v>0.1</v>
      </c>
      <c r="F311" s="9">
        <f>'Model inputs'!F385*'Model inputs'!O491</f>
        <v>0.20500000000000004</v>
      </c>
      <c r="G311" s="9">
        <f>'Model inputs'!G385*'Model inputs'!O491</f>
        <v>0.3157500000000001</v>
      </c>
      <c r="H311" s="9">
        <f>'Model inputs'!H385*'Model inputs'!O491</f>
        <v>0.43306250000000013</v>
      </c>
      <c r="I311" s="9">
        <f>'Model inputs'!I385*'Model inputs'!O491</f>
        <v>0.5578193750000001</v>
      </c>
      <c r="J311" s="9">
        <f>'Model inputs'!J385*'Model inputs'!O491</f>
        <v>0.6909794062500003</v>
      </c>
      <c r="K311" s="9">
        <f>'Model inputs'!K385*'Model inputs'!O491</f>
        <v>0.8335865359375003</v>
      </c>
      <c r="L311" s="9">
        <f>'Model inputs'!L385*'Model inputs'!O491</f>
        <v>0.9867789191406255</v>
      </c>
      <c r="M311" s="9">
        <f>'Model inputs'!M385*'Model inputs'!O491</f>
        <v>1.1517988541835944</v>
      </c>
      <c r="N311" s="9">
        <f>'Model inputs'!N385*'Model inputs'!O491</f>
        <v>1.330003680574415</v>
      </c>
    </row>
    <row r="312" outlineLevel="1">
      <c r="A312" t="inlineStr" s="27">
        <is>
          <t xml:space="preserve">Churned customers &gt; Team</t>
        </is>
      </c>
      <c r="B312" s="9">
        <f>'Model inputs'!B386*'Model inputs'!O491</f>
        <v>0.7614388712778473</v>
      </c>
      <c r="C312" s="9">
        <f>'Model inputs'!C101</f>
        <v>0</v>
      </c>
      <c r="D312" s="9">
        <f>'Model inputs'!D386*'Model inputs'!O491</f>
        <v>0</v>
      </c>
      <c r="E312" s="9">
        <f>'Model inputs'!E386*'Model inputs'!O491</f>
        <v>0.05</v>
      </c>
      <c r="F312" s="9">
        <f>'Model inputs'!F386*'Model inputs'!O491</f>
        <v>0.10250000000000002</v>
      </c>
      <c r="G312" s="9">
        <f>'Model inputs'!G386*'Model inputs'!O491</f>
        <v>0.15787500000000004</v>
      </c>
      <c r="H312" s="9">
        <f>'Model inputs'!H386*'Model inputs'!O491</f>
        <v>0.21653125000000006</v>
      </c>
      <c r="I312" s="9">
        <f>'Model inputs'!I386*'Model inputs'!O491</f>
        <v>0.27890968750000006</v>
      </c>
      <c r="J312" s="9">
        <f>'Model inputs'!J386*'Model inputs'!O491</f>
        <v>0.34548970312500016</v>
      </c>
      <c r="K312" s="9">
        <f>'Model inputs'!K386*'Model inputs'!O491</f>
        <v>0.41679326796875016</v>
      </c>
      <c r="L312" s="9">
        <f>'Model inputs'!L386*'Model inputs'!O491</f>
        <v>0.49338945957031277</v>
      </c>
      <c r="M312" s="9">
        <f>'Model inputs'!M386*'Model inputs'!O491</f>
        <v>0.5758994270917972</v>
      </c>
      <c r="N312" s="9">
        <f>'Model inputs'!N386*'Model inputs'!O491</f>
        <v>0.6650018402872075</v>
      </c>
    </row>
    <row r="313">
      <c r="A313" t="inlineStr" s="26">
        <is>
          <t xml:space="preserve">Churned customers</t>
        </is>
      </c>
      <c r="B313" s="6">
        <f>SUM('Model inputs'!B314,'Model inputs'!B315)</f>
        <v>0.8950877207624583</v>
      </c>
      <c r="C313" s="6">
        <f>SUM('Model inputs'!C314,'Model inputs'!C315)</f>
        <v>0</v>
      </c>
      <c r="D313" s="6">
        <f>SUM('Model inputs'!D314,'Model inputs'!D315)</f>
        <v>0</v>
      </c>
      <c r="E313" s="6">
        <f>SUM('Model inputs'!E314,'Model inputs'!E315)</f>
        <v>0.1</v>
      </c>
      <c r="F313" s="6">
        <f>SUM('Model inputs'!F314,'Model inputs'!F315)</f>
        <v>0.19500000000000003</v>
      </c>
      <c r="G313" s="6">
        <f>SUM('Model inputs'!G314,'Model inputs'!G315)</f>
        <v>0.28549</v>
      </c>
      <c r="H313" s="6">
        <f>SUM('Model inputs'!H314,'Model inputs'!H315)</f>
        <v>0.3719235000000001</v>
      </c>
      <c r="I313" s="6">
        <f>SUM('Model inputs'!I314,'Model inputs'!I315)</f>
        <v>0.45472050100000005</v>
      </c>
      <c r="J313" s="6">
        <f>SUM('Model inputs'!J314,'Model inputs'!J315)</f>
        <v>0.5342702683500001</v>
      </c>
      <c r="K313" s="6">
        <f>SUM('Model inputs'!K314,'Model inputs'!K315)</f>
        <v>0.6109338765349</v>
      </c>
      <c r="L313" s="6">
        <f>SUM('Model inputs'!L314,'Model inputs'!L315)</f>
        <v>0.685046552954595</v>
      </c>
      <c r="M313" s="6">
        <f>SUM('Model inputs'!M314,'Model inputs'!M315)</f>
        <v>0.756919836856989</v>
      </c>
      <c r="N313" s="6">
        <f>SUM('Model inputs'!N314,'Model inputs'!N315)</f>
        <v>0.8268435682913544</v>
      </c>
    </row>
    <row r="314" outlineLevel="1">
      <c r="A314" t="inlineStr" s="27">
        <is>
          <t xml:space="preserve">Churned customers &gt; Starter</t>
        </is>
      </c>
      <c r="B314" s="9">
        <f>'Model inputs'!B388*'Model inputs'!O492</f>
        <v>0.7160701766099666</v>
      </c>
      <c r="C314" s="9">
        <f>'Model inputs'!C100</f>
        <v>0</v>
      </c>
      <c r="D314" s="9">
        <f>'Model inputs'!D388*'Model inputs'!O492</f>
        <v>0</v>
      </c>
      <c r="E314" s="9">
        <f>'Model inputs'!E388*'Model inputs'!O492</f>
        <v>0.08</v>
      </c>
      <c r="F314" s="9">
        <f>'Model inputs'!F388*'Model inputs'!O492</f>
        <v>0.15600000000000003</v>
      </c>
      <c r="G314" s="9">
        <f>'Model inputs'!G388*'Model inputs'!O492</f>
        <v>0.228392</v>
      </c>
      <c r="H314" s="9">
        <f>'Model inputs'!H388*'Model inputs'!O492</f>
        <v>0.29753880000000005</v>
      </c>
      <c r="I314" s="9">
        <f>'Model inputs'!I388*'Model inputs'!O492</f>
        <v>0.36377640080000007</v>
      </c>
      <c r="J314" s="9">
        <f>'Model inputs'!J388*'Model inputs'!O492</f>
        <v>0.4274162146800001</v>
      </c>
      <c r="K314" s="9">
        <f>'Model inputs'!K388*'Model inputs'!O492</f>
        <v>0.48874710122792003</v>
      </c>
      <c r="L314" s="9">
        <f>'Model inputs'!L388*'Model inputs'!O492</f>
        <v>0.548037242363676</v>
      </c>
      <c r="M314" s="9">
        <f>'Model inputs'!M388*'Model inputs'!O492</f>
        <v>0.6055358694855912</v>
      </c>
      <c r="N314" s="9">
        <f>'Model inputs'!N388*'Model inputs'!O492</f>
        <v>0.6614748546330835</v>
      </c>
    </row>
    <row r="315" outlineLevel="1">
      <c r="A315" t="inlineStr" s="27">
        <is>
          <t xml:space="preserve">Churned customers &gt; Team</t>
        </is>
      </c>
      <c r="B315" s="9">
        <f>'Model inputs'!B389*'Model inputs'!O492</f>
        <v>0.17901754415249166</v>
      </c>
      <c r="C315" s="9">
        <f>'Model inputs'!C101</f>
        <v>0</v>
      </c>
      <c r="D315" s="9">
        <f>'Model inputs'!D389*'Model inputs'!O492</f>
        <v>0</v>
      </c>
      <c r="E315" s="9">
        <f>'Model inputs'!E389*'Model inputs'!O492</f>
        <v>0.02</v>
      </c>
      <c r="F315" s="9">
        <f>'Model inputs'!F389*'Model inputs'!O492</f>
        <v>0.03900000000000001</v>
      </c>
      <c r="G315" s="9">
        <f>'Model inputs'!G389*'Model inputs'!O492</f>
        <v>0.057098</v>
      </c>
      <c r="H315" s="9">
        <f>'Model inputs'!H389*'Model inputs'!O492</f>
        <v>0.07438470000000001</v>
      </c>
      <c r="I315" s="9">
        <f>'Model inputs'!I389*'Model inputs'!O492</f>
        <v>0.09094410020000002</v>
      </c>
      <c r="J315" s="9">
        <f>'Model inputs'!J389*'Model inputs'!O492</f>
        <v>0.10685405367000002</v>
      </c>
      <c r="K315" s="9">
        <f>'Model inputs'!K389*'Model inputs'!O492</f>
        <v>0.12218677530698001</v>
      </c>
      <c r="L315" s="9">
        <f>'Model inputs'!L389*'Model inputs'!O492</f>
        <v>0.137009310590919</v>
      </c>
      <c r="M315" s="9">
        <f>'Model inputs'!M389*'Model inputs'!O492</f>
        <v>0.1513839673713978</v>
      </c>
      <c r="N315" s="9">
        <f>'Model inputs'!N389*'Model inputs'!O492</f>
        <v>0.16536871365827088</v>
      </c>
    </row>
    <row r="316">
      <c r="A316" t="inlineStr" s="26">
        <is>
          <t xml:space="preserve">Contribution margin · Break-even customers · Bootstrap no-sales stress — hypothetical · Bootstrap no-sales stress — hypothetical</t>
        </is>
      </c>
      <c r="B316" s="8">
        <f>'Model inputs'!B62-'Model inputs'!B278</f>
        <v>0</v>
      </c>
    </row>
    <row r="317">
      <c r="A317" t="inlineStr" s="26">
        <is>
          <t xml:space="preserve">Contribution margin · Break-even customers · Growth · Growth</t>
        </is>
      </c>
      <c r="B317" s="8">
        <f>'Model inputs'!B63-'Model inputs'!B279</f>
        <v>11515.296352094763</v>
      </c>
    </row>
    <row r="318">
      <c r="A318" t="inlineStr" s="26">
        <is>
          <t xml:space="preserve">Contribution margin · Break-even customers · Bootstrap $5,000 — hypothetical · Bootstrap $5,000 — hypothetical</t>
        </is>
      </c>
      <c r="B318" s="8">
        <f>'Model inputs'!B67-'Model inputs'!B280</f>
        <v>3855.013727304802</v>
      </c>
    </row>
    <row r="319">
      <c r="A319" t="inlineStr" s="26">
        <is>
          <t xml:space="preserve">Contribution margin · Break-even customers · Conservative · Conservative</t>
        </is>
      </c>
      <c r="B319" s="8">
        <f>'Model inputs'!B68-'Model inputs'!B281</f>
        <v>723.1354473904883</v>
      </c>
    </row>
    <row r="320">
      <c r="A320" t="inlineStr" s="26">
        <is>
          <t xml:space="preserve">Cost of revenue · Gross profit · Gross margin · Growth · Growth · Growth</t>
        </is>
      </c>
      <c r="B320" s="8">
        <f>IF('Model inputs'!B26="","",'Model inputs'!B26)</f>
        <v>5317.557936544402</v>
      </c>
      <c r="C320" s="8">
        <v>0</v>
      </c>
      <c r="D320" s="8">
        <f>IF('Model inputs'!D26="","",'Model inputs'!D26)</f>
        <v>421.86</v>
      </c>
      <c r="E320" s="8">
        <f>IF('Model inputs'!E26="","",'Model inputs'!E26)</f>
        <v>642.3432</v>
      </c>
      <c r="F320" s="8">
        <f>IF('Model inputs'!F26="","",'Model inputs'!F26)</f>
        <v>890.1702539999999</v>
      </c>
      <c r="G320" s="8">
        <f>IF('Model inputs'!G26="","",'Model inputs'!G26)</f>
        <v>1169.61459888</v>
      </c>
      <c r="H320" s="8">
        <f>IF('Model inputs'!H26="","",'Model inputs'!H26)</f>
        <v>1485.5855312886</v>
      </c>
      <c r="I320" s="8">
        <f>IF('Model inputs'!I26="","",'Model inputs'!I26)</f>
        <v>1843.723741281192</v>
      </c>
      <c r="J320" s="8">
        <f>IF('Model inputs'!J26="","",'Model inputs'!J26)</f>
        <v>2250.5111713636934</v>
      </c>
      <c r="K320" s="8">
        <f>IF('Model inputs'!K26="","",'Model inputs'!K26)</f>
        <v>2713.3973498918604</v>
      </c>
      <c r="L320" s="8">
        <f>IF('Model inputs'!L26="","",'Model inputs'!L26)</f>
        <v>3240.9446701145444</v>
      </c>
      <c r="M320" s="8">
        <f>IF('Model inputs'!M26="","",'Model inputs'!M26)</f>
        <v>3842.9954568384637</v>
      </c>
      <c r="N320" s="8">
        <f>IF('Model inputs'!N26="","",'Model inputs'!N26)</f>
        <v>4530.864088984768</v>
      </c>
    </row>
    <row r="321">
      <c r="A321" t="inlineStr" s="26">
        <is>
          <t xml:space="preserve">Cost of revenue · Gross profit · Gross margin · Conservative · Conservative · Conservative</t>
        </is>
      </c>
      <c r="B321" s="8">
        <f>IF('Model inputs'!B28="","",'Model inputs'!B28)</f>
        <v>519.0781279684174</v>
      </c>
      <c r="C321" s="8">
        <v>0</v>
      </c>
      <c r="D321" s="8">
        <f>IF('Model inputs'!D28="","",'Model inputs'!D28)</f>
        <v>255.5725</v>
      </c>
      <c r="E321" s="8">
        <f>IF('Model inputs'!E28="","",'Model inputs'!E28)</f>
        <v>284.616375</v>
      </c>
      <c r="F321" s="8">
        <f>IF('Model inputs'!F28="","",'Model inputs'!F28)</f>
        <v>312.28143024999997</v>
      </c>
      <c r="G321" s="8">
        <f>IF('Model inputs'!G28="","",'Model inputs'!G28)</f>
        <v>338.7063120375</v>
      </c>
      <c r="H321" s="8">
        <f>IF('Model inputs'!H28="","",'Model inputs'!H28)</f>
        <v>364.01942516822504</v>
      </c>
      <c r="I321" s="8">
        <f>IF('Model inputs'!I28="","",'Model inputs'!I28)</f>
        <v>388.33977779130373</v>
      </c>
      <c r="J321" s="8">
        <f>IF('Model inputs'!J28="","",'Model inputs'!J28)</f>
        <v>411.77775940363233</v>
      </c>
      <c r="K321" s="8">
        <f>IF('Model inputs'!K28="","",'Model inputs'!K28)</f>
        <v>434.43585740204355</v>
      </c>
      <c r="L321" s="8">
        <f>IF('Model inputs'!L28="","",'Model inputs'!L28)</f>
        <v>456.40931712310294</v>
      </c>
      <c r="M321" s="8">
        <f>IF('Model inputs'!M28="","",'Model inputs'!M28)</f>
        <v>477.78674991587434</v>
      </c>
      <c r="N321" s="8">
        <f>IF('Model inputs'!N28="","",'Model inputs'!N28)</f>
        <v>498.65069343010254</v>
      </c>
    </row>
    <row r="322">
      <c r="A322" t="inlineStr" s="26">
        <is>
          <t xml:space="preserve">Founder monthly pay · Founder pay · NeatRescue — Cash &amp; scenarios · Monthly cash — actual-zero and hypothetical bootstrap cases · Bootstrap no-sales stress — hypothetical · Bootstrap no-sales stress — hypothetical</t>
        </is>
      </c>
      <c r="O322" s="8">
        <f>'NeatRescue — Assumptions &amp; simu'!B19</f>
        <v>0</v>
      </c>
    </row>
    <row r="323">
      <c r="A323" t="inlineStr" s="26">
        <is>
          <t xml:space="preserve">Founder monthly pay · Founder pay · Break-even customers · Growth · Growth · Growth</t>
        </is>
      </c>
      <c r="O323" s="8">
        <f>'NeatRescue — Assumptions &amp; simu'!B19</f>
        <v>0</v>
      </c>
    </row>
    <row r="324">
      <c r="A324" t="inlineStr" s="26">
        <is>
          <t xml:space="preserve">Founder monthly pay · Founder pay · NeatRescue — Cash &amp; scenarios · Monthly cash — actual-zero and hypothetical bootstrap cases · Bootstrap $5,000 — hypothetical · Bootstrap $5,000 — hypothetical</t>
        </is>
      </c>
      <c r="O324" s="8">
        <f>'NeatRescue — Assumptions &amp; simu'!B19</f>
        <v>0</v>
      </c>
    </row>
    <row r="325">
      <c r="A325" t="inlineStr" s="26">
        <is>
          <t xml:space="preserve">Founder monthly pay · Founder pay · Break-even customers · Conservative · Conservative · Conservative</t>
        </is>
      </c>
      <c r="O325" s="8">
        <f>'NeatRescue — Assumptions &amp; simu'!B19</f>
        <v>0</v>
      </c>
    </row>
    <row r="326">
      <c r="A326" t="inlineStr" s="26">
        <is>
          <t xml:space="preserve">Included verifications</t>
        </is>
      </c>
      <c r="O326" s="6">
        <v>0</v>
      </c>
    </row>
    <row r="327" outlineLevel="1">
      <c r="A327" t="inlineStr" s="27">
        <is>
          <t xml:space="preserve">Included verifications &gt; Starter</t>
        </is>
      </c>
      <c r="O327" s="9">
        <f>'NeatRescue — Assumptions &amp; (2)'!C5</f>
        <v>100</v>
      </c>
    </row>
    <row r="328" outlineLevel="1">
      <c r="A328" t="inlineStr" s="27">
        <is>
          <t xml:space="preserve">Included verifications &gt; Team</t>
        </is>
      </c>
      <c r="O328" s="9">
        <f>'NeatRescue — Assumptions &amp; (2)'!C6</f>
        <v>600</v>
      </c>
    </row>
    <row r="329">
      <c r="A329" t="inlineStr" s="26">
        <is>
          <t xml:space="preserve">Included verifications</t>
        </is>
      </c>
      <c r="O329" s="6">
        <v>0</v>
      </c>
    </row>
    <row r="330" outlineLevel="1">
      <c r="A330" t="inlineStr" s="27">
        <is>
          <t xml:space="preserve">Included verifications &gt; Starter</t>
        </is>
      </c>
      <c r="O330" s="9">
        <f>'NeatRescue — Assumptions &amp; (2)'!C5</f>
        <v>100</v>
      </c>
    </row>
    <row r="331" outlineLevel="1">
      <c r="A331" t="inlineStr" s="27">
        <is>
          <t xml:space="preserve">Included verifications &gt; Team</t>
        </is>
      </c>
      <c r="O331" s="9">
        <f>'NeatRescue — Assumptions &amp; (2)'!C6</f>
        <v>600</v>
      </c>
    </row>
    <row r="332">
      <c r="A332" t="inlineStr" s="26">
        <is>
          <t xml:space="preserve">Launch expense · One-time launch cost · NeatRescue — Cash &amp; scenarios · Monthly cash — actual-zero and hypothetical bootstrap cases · Bootstrap no-sales stress — hypothetical · Bootstrap no-sales stress — hypothetical</t>
        </is>
      </c>
      <c r="O332" s="8">
        <f>'NeatRescue — Assumptions &amp; simu'!B16</f>
        <v>200</v>
      </c>
    </row>
    <row r="333">
      <c r="A333" t="inlineStr" s="26">
        <is>
          <t xml:space="preserve">Launch expense · One-time launch cost · Operating expenses · NeatRescue — Hackathon submission · 12-month scenario comparison — hypothetical · Growth · Growth · Growth</t>
        </is>
      </c>
      <c r="O333" s="8">
        <f>'NeatRescue — Assumptions &amp; simu'!B16</f>
        <v>200</v>
      </c>
    </row>
    <row r="334">
      <c r="A334" t="inlineStr" s="26">
        <is>
          <t xml:space="preserve">Launch expense · One-time launch cost · NeatRescue — Cash &amp; scenarios · Monthly cash — actual-zero and hypothetical bootstrap cases · Bootstrap $5,000 — hypothetical · Bootstrap $5,000 — hypothetical</t>
        </is>
      </c>
      <c r="O334" s="8">
        <f>'NeatRescue — Assumptions &amp; simu'!B16</f>
        <v>200</v>
      </c>
    </row>
    <row r="335">
      <c r="A335" t="inlineStr" s="26">
        <is>
          <t xml:space="preserve">Launch expense · One-time launch cost · Operating expenses · NeatRescue — Hackathon submission · 12-month scenario comparison — hypothetical · Conservative · Conservative · Conservative</t>
        </is>
      </c>
      <c r="O335" s="8">
        <f>'NeatRescue — Assumptions &amp; simu'!B16</f>
        <v>200</v>
      </c>
    </row>
    <row r="336">
      <c r="A336" t="inlineStr" s="26">
        <is>
          <t xml:space="preserve">Monthly acquisition budget · Acquisition expense · NeatRescue — Cash &amp; scenarios · Monthly cash — actual-zero and hypothetical bootstrap cases · Bootstrap no-sales stress — hypothetical · Bootstrap no-sales stress — hypothetical</t>
        </is>
      </c>
      <c r="O336" s="8">
        <f>'NeatRescue — Assumptions &amp; simu'!B15</f>
        <v>150</v>
      </c>
    </row>
    <row r="337">
      <c r="A337" t="inlineStr" s="26">
        <is>
          <t xml:space="preserve">Monthly acquisition budget · Acquisition expense · Break-even customers · Growth · Growth · Growth</t>
        </is>
      </c>
      <c r="O337" s="8">
        <f>300</f>
        <v>300</v>
      </c>
    </row>
    <row r="338">
      <c r="A338" t="inlineStr" s="26">
        <is>
          <t xml:space="preserve">Monthly acquisition budget · Acquisition expense · NeatRescue — Cash &amp; scenarios · Monthly cash — actual-zero and hypothetical bootstrap cases · Bootstrap $5,000 — hypothetical · Bootstrap $5,000 — hypothetical</t>
        </is>
      </c>
      <c r="O338" s="8">
        <f>'NeatRescue — Assumptions &amp; simu'!B15</f>
        <v>150</v>
      </c>
    </row>
    <row r="339">
      <c r="A339" t="inlineStr" s="26">
        <is>
          <t xml:space="preserve">Monthly acquisition budget · Acquisition expense · Break-even customers · Conservative · Conservative · Conservative</t>
        </is>
      </c>
      <c r="O339" s="8">
        <f>75</f>
        <v>75</v>
      </c>
    </row>
    <row r="340">
      <c r="A340" t="inlineStr" s="26">
        <is>
          <t xml:space="preserve">Monthly compute baseline · Fixed delivery costs · Break-even customers · Bootstrap no-sales stress — hypothetical · Bootstrap no-sales stress — hypothetical · Bootstrap no-sales stress — hypothetical</t>
        </is>
      </c>
      <c r="O340" s="8">
        <f>'NeatRescue — Assumptions &amp; simu'!B11</f>
        <v>40</v>
      </c>
    </row>
    <row r="341">
      <c r="A341" t="inlineStr" s="26">
        <is>
          <t xml:space="preserve">Monthly compute baseline · Fixed delivery costs · Break-even customers · Growth · Growth · Growth</t>
        </is>
      </c>
      <c r="O341" s="8">
        <f>'NeatRescue — Assumptions &amp; simu'!B11</f>
        <v>40</v>
      </c>
    </row>
    <row r="342">
      <c r="A342" t="inlineStr" s="26">
        <is>
          <t xml:space="preserve">Monthly compute baseline · Fixed delivery costs · Break-even customers · Bootstrap $5,000 — hypothetical · Bootstrap $5,000 — hypothetical · Bootstrap $5,000 — hypothetical</t>
        </is>
      </c>
      <c r="O342" s="8">
        <f>'NeatRescue — Assumptions &amp; simu'!B11</f>
        <v>40</v>
      </c>
    </row>
    <row r="343">
      <c r="A343" t="inlineStr" s="26">
        <is>
          <t xml:space="preserve">Monthly compute baseline · Fixed delivery costs · Break-even customers · Conservative · Conservative · Conservative</t>
        </is>
      </c>
      <c r="O343" s="8">
        <f>'NeatRescue — Assumptions &amp; simu'!B11</f>
        <v>40</v>
      </c>
    </row>
    <row r="344">
      <c r="A344" t="inlineStr" s="26">
        <is>
          <t xml:space="preserve">Monthly hosting budget · Fixed delivery costs · Break-even customers · Bootstrap no-sales stress — hypothetical · Bootstrap no-sales stress — hypothetical · Bootstrap no-sales stress — hypothetical</t>
        </is>
      </c>
      <c r="O344" s="8">
        <f>'NeatRescue — Assumptions &amp; simu'!B10</f>
        <v>60</v>
      </c>
    </row>
    <row r="345">
      <c r="A345" t="inlineStr" s="26">
        <is>
          <t xml:space="preserve">Monthly hosting budget · Fixed delivery costs · Break-even customers · Growth · Growth · Growth</t>
        </is>
      </c>
      <c r="O345" s="8">
        <f>'NeatRescue — Assumptions &amp; simu'!B10</f>
        <v>60</v>
      </c>
    </row>
    <row r="346">
      <c r="A346" t="inlineStr" s="26">
        <is>
          <t xml:space="preserve">Monthly hosting budget · Fixed delivery costs · Break-even customers · Bootstrap $5,000 — hypothetical · Bootstrap $5,000 — hypothetical · Bootstrap $5,000 — hypothetical</t>
        </is>
      </c>
      <c r="O346" s="8">
        <f>'NeatRescue — Assumptions &amp; simu'!B10</f>
        <v>60</v>
      </c>
    </row>
    <row r="347">
      <c r="A347" t="inlineStr" s="26">
        <is>
          <t xml:space="preserve">Monthly hosting budget · Fixed delivery costs · Break-even customers · Conservative · Conservative · Conservative</t>
        </is>
      </c>
      <c r="O347" s="8">
        <f>'NeatRescue — Assumptions &amp; simu'!B10</f>
        <v>60</v>
      </c>
    </row>
    <row r="348">
      <c r="A348" t="inlineStr" s="26">
        <is>
          <t xml:space="preserve">Monthly logging baseline · Fixed delivery costs · Break-even customers · Bootstrap no-sales stress — hypothetical · Bootstrap no-sales stress — hypothetical · Bootstrap no-sales stress — hypothetical</t>
        </is>
      </c>
      <c r="O348" s="8">
        <f>'NeatRescue — Assumptions &amp; simu'!B12</f>
        <v>25</v>
      </c>
    </row>
    <row r="349">
      <c r="A349" t="inlineStr" s="26">
        <is>
          <t xml:space="preserve">Monthly logging baseline · Fixed delivery costs · Break-even customers · Growth · Growth · Growth</t>
        </is>
      </c>
      <c r="O349" s="8">
        <f>'NeatRescue — Assumptions &amp; simu'!B12</f>
        <v>25</v>
      </c>
    </row>
    <row r="350">
      <c r="A350" t="inlineStr" s="26">
        <is>
          <t xml:space="preserve">Monthly logging baseline · Fixed delivery costs · Break-even customers · Bootstrap $5,000 — hypothetical · Bootstrap $5,000 — hypothetical · Bootstrap $5,000 — hypothetical</t>
        </is>
      </c>
      <c r="O350" s="8">
        <f>'NeatRescue — Assumptions &amp; simu'!B12</f>
        <v>25</v>
      </c>
    </row>
    <row r="351">
      <c r="A351" t="inlineStr" s="26">
        <is>
          <t xml:space="preserve">Monthly logging baseline · Fixed delivery costs · Break-even customers · Conservative · Conservative · Conservative</t>
        </is>
      </c>
      <c r="O351" s="8">
        <f>'NeatRescue — Assumptions &amp; simu'!B12</f>
        <v>25</v>
      </c>
    </row>
    <row r="352">
      <c r="A352" t="inlineStr" s="26">
        <is>
          <t xml:space="preserve">Monthly security budget · Security expense · NeatRescue — Cash &amp; scenarios · Monthly cash — actual-zero and hypothetical bootstrap cases · Bootstrap no-sales stress — hypothetical · Bootstrap no-sales stress — hypothetical</t>
        </is>
      </c>
      <c r="O352" s="8">
        <f>'NeatRescue — Assumptions &amp; simu'!B13</f>
        <v>75</v>
      </c>
    </row>
    <row r="353">
      <c r="A353" t="inlineStr" s="26">
        <is>
          <t xml:space="preserve">Monthly security budget · Security expense · Break-even customers · Growth · Growth · Growth</t>
        </is>
      </c>
      <c r="O353" s="8">
        <f>'NeatRescue — Assumptions &amp; simu'!B13</f>
        <v>75</v>
      </c>
    </row>
    <row r="354">
      <c r="A354" t="inlineStr" s="26">
        <is>
          <t xml:space="preserve">Monthly security budget · Security expense · NeatRescue — Cash &amp; scenarios · Monthly cash — actual-zero and hypothetical bootstrap cases · Bootstrap $5,000 — hypothetical · Bootstrap $5,000 — hypothetical</t>
        </is>
      </c>
      <c r="O354" s="8">
        <f>'NeatRescue — Assumptions &amp; simu'!B13</f>
        <v>75</v>
      </c>
    </row>
    <row r="355">
      <c r="A355" t="inlineStr" s="26">
        <is>
          <t xml:space="preserve">Monthly security budget · Security expense · Break-even customers · Conservative · Conservative · Conservative</t>
        </is>
      </c>
      <c r="O355" s="8">
        <f>'NeatRescue — Assumptions &amp; simu'!B13</f>
        <v>75</v>
      </c>
    </row>
    <row r="356">
      <c r="A356" t="inlineStr" s="26">
        <is>
          <t xml:space="preserve">Monthly subscription price</t>
        </is>
      </c>
      <c r="O356" s="16">
        <v>0</v>
      </c>
    </row>
    <row r="357" outlineLevel="1">
      <c r="A357" t="inlineStr" s="27">
        <is>
          <t xml:space="preserve">Monthly subscription price &gt; Starter</t>
        </is>
      </c>
      <c r="O357" s="8">
        <f>'NeatRescue — Assumptions &amp; (2)'!B5</f>
        <v>49</v>
      </c>
    </row>
    <row r="358" outlineLevel="1">
      <c r="A358" t="inlineStr" s="27">
        <is>
          <t xml:space="preserve">Monthly subscription price &gt; Team</t>
        </is>
      </c>
      <c r="O358" s="8">
        <f>'NeatRescue — Assumptions &amp; (2)'!B6</f>
        <v>199</v>
      </c>
    </row>
    <row r="359">
      <c r="A359" t="inlineStr" s="26">
        <is>
          <t xml:space="preserve">Monthly subscription price</t>
        </is>
      </c>
      <c r="O359" s="16">
        <v>0</v>
      </c>
    </row>
    <row r="360" outlineLevel="1">
      <c r="A360" t="inlineStr" s="27">
        <is>
          <t xml:space="preserve">Monthly subscription price &gt; Starter</t>
        </is>
      </c>
      <c r="O360" s="8">
        <f>'NeatRescue — Assumptions &amp; (2)'!B5</f>
        <v>49</v>
      </c>
    </row>
    <row r="361" outlineLevel="1">
      <c r="A361" t="inlineStr" s="27">
        <is>
          <t xml:space="preserve">Monthly subscription price &gt; Team</t>
        </is>
      </c>
      <c r="O361" s="8">
        <f>'NeatRescue — Assumptions &amp; (2)'!B6</f>
        <v>199</v>
      </c>
    </row>
    <row r="362">
      <c r="A362" t="inlineStr" s="26">
        <is>
          <t xml:space="preserve">Monthly support baseline · Fixed delivery costs · Break-even customers · Bootstrap no-sales stress — hypothetical · Bootstrap no-sales stress — hypothetical · Bootstrap no-sales stress — hypothetical</t>
        </is>
      </c>
      <c r="O362" s="8">
        <f>'NeatRescue — Assumptions &amp; simu'!B14</f>
        <v>100</v>
      </c>
    </row>
    <row r="363">
      <c r="A363" t="inlineStr" s="26">
        <is>
          <t xml:space="preserve">Monthly support baseline · Fixed delivery costs · Break-even customers · Growth · Growth · Growth</t>
        </is>
      </c>
      <c r="O363" s="8">
        <f>'NeatRescue — Assumptions &amp; simu'!B14</f>
        <v>100</v>
      </c>
    </row>
    <row r="364">
      <c r="A364" t="inlineStr" s="26">
        <is>
          <t xml:space="preserve">Monthly support baseline · Fixed delivery costs · Break-even customers · Bootstrap $5,000 — hypothetical · Bootstrap $5,000 — hypothetical · Bootstrap $5,000 — hypothetical</t>
        </is>
      </c>
      <c r="O364" s="8">
        <f>'NeatRescue — Assumptions &amp; simu'!B14</f>
        <v>100</v>
      </c>
    </row>
    <row r="365">
      <c r="A365" t="inlineStr" s="26">
        <is>
          <t xml:space="preserve">Monthly support baseline · Fixed delivery costs · Break-even customers · Conservative · Conservative · Conservative</t>
        </is>
      </c>
      <c r="O365" s="8">
        <f>'NeatRescue — Assumptions &amp; simu'!B14</f>
        <v>100</v>
      </c>
    </row>
    <row r="366">
      <c r="A366" t="inlineStr" s="26">
        <is>
          <t xml:space="preserve">New customers</t>
        </is>
      </c>
      <c r="B366" s="6">
        <f>SUM('Model inputs'!B367,'Model inputs'!B368)</f>
        <v>0</v>
      </c>
      <c r="C366" s="6">
        <f>SUM('Model inputs'!C367,'Model inputs'!C368)</f>
        <v>0</v>
      </c>
      <c r="D366" s="6">
        <f>SUM('Model inputs'!D367,'Model inputs'!D368)</f>
        <v>0</v>
      </c>
      <c r="E366" s="6">
        <f>SUM('Model inputs'!E367,'Model inputs'!E368)</f>
        <v>0</v>
      </c>
      <c r="F366" s="6">
        <f>SUM('Model inputs'!F367,'Model inputs'!F368)</f>
        <v>0</v>
      </c>
      <c r="G366" s="6">
        <f>SUM('Model inputs'!G367,'Model inputs'!G368)</f>
        <v>0</v>
      </c>
      <c r="H366" s="6">
        <f>SUM('Model inputs'!H367,'Model inputs'!H368)</f>
        <v>0</v>
      </c>
      <c r="I366" s="6">
        <f>SUM('Model inputs'!I367,'Model inputs'!I368)</f>
        <v>0</v>
      </c>
      <c r="J366" s="6">
        <f>SUM('Model inputs'!J367,'Model inputs'!J368)</f>
        <v>0</v>
      </c>
      <c r="K366" s="6">
        <f>SUM('Model inputs'!K367,'Model inputs'!K368)</f>
        <v>0</v>
      </c>
      <c r="L366" s="6">
        <f>SUM('Model inputs'!L367,'Model inputs'!L368)</f>
        <v>0</v>
      </c>
      <c r="M366" s="6">
        <f>SUM('Model inputs'!M367,'Model inputs'!M368)</f>
        <v>0</v>
      </c>
      <c r="N366" s="6">
        <f>SUM('Model inputs'!N367,'Model inputs'!N368)</f>
        <v>0</v>
      </c>
    </row>
    <row r="367" outlineLevel="1">
      <c r="A367" t="inlineStr" s="27">
        <is>
          <t xml:space="preserve">New customers &gt; Starter</t>
        </is>
      </c>
      <c r="B367" s="9">
        <f>'Model inputs'!N367*(1+'Model inputs'!O485)</f>
        <v>0</v>
      </c>
      <c r="C367" s="9">
        <f>'Model inputs'!C106</f>
        <v>0</v>
      </c>
      <c r="D367" s="9">
        <f>IF('Model inputs'!O456="","",'Model inputs'!O456)</f>
        <v>0</v>
      </c>
      <c r="E367" s="9">
        <f>'Model inputs'!D367*(1+'Model inputs'!O485)</f>
        <v>0</v>
      </c>
      <c r="F367" s="9">
        <f>'Model inputs'!E367*(1+'Model inputs'!O485)</f>
        <v>0</v>
      </c>
      <c r="G367" s="9">
        <f>'Model inputs'!F367*(1+'Model inputs'!O485)</f>
        <v>0</v>
      </c>
      <c r="H367" s="9">
        <f>'Model inputs'!G367*(1+'Model inputs'!O485)</f>
        <v>0</v>
      </c>
      <c r="I367" s="9">
        <f>'Model inputs'!H367*(1+'Model inputs'!O485)</f>
        <v>0</v>
      </c>
      <c r="J367" s="9">
        <f>'Model inputs'!I367*(1+'Model inputs'!O485)</f>
        <v>0</v>
      </c>
      <c r="K367" s="9">
        <f>'Model inputs'!J367*(1+'Model inputs'!O485)</f>
        <v>0</v>
      </c>
      <c r="L367" s="9">
        <f>'Model inputs'!K367*(1+'Model inputs'!O485)</f>
        <v>0</v>
      </c>
      <c r="M367" s="9">
        <f>'Model inputs'!L367*(1+'Model inputs'!O485)</f>
        <v>0</v>
      </c>
      <c r="N367" s="9">
        <f>'Model inputs'!M367*(1+'Model inputs'!O485)</f>
        <v>0</v>
      </c>
    </row>
    <row r="368" outlineLevel="1">
      <c r="A368" t="inlineStr" s="27">
        <is>
          <t xml:space="preserve">New customers &gt; Team</t>
        </is>
      </c>
      <c r="B368" s="9">
        <f>'Model inputs'!N368*(1+'Model inputs'!O485)</f>
        <v>0</v>
      </c>
      <c r="C368" s="9">
        <f>'Model inputs'!C107</f>
        <v>0</v>
      </c>
      <c r="D368" s="9">
        <f>IF('Model inputs'!O457="","",'Model inputs'!O457)</f>
        <v>0</v>
      </c>
      <c r="E368" s="9">
        <f>'Model inputs'!D368*(1+'Model inputs'!O485)</f>
        <v>0</v>
      </c>
      <c r="F368" s="9">
        <f>'Model inputs'!E368*(1+'Model inputs'!O485)</f>
        <v>0</v>
      </c>
      <c r="G368" s="9">
        <f>'Model inputs'!F368*(1+'Model inputs'!O485)</f>
        <v>0</v>
      </c>
      <c r="H368" s="9">
        <f>'Model inputs'!G368*(1+'Model inputs'!O485)</f>
        <v>0</v>
      </c>
      <c r="I368" s="9">
        <f>'Model inputs'!H368*(1+'Model inputs'!O485)</f>
        <v>0</v>
      </c>
      <c r="J368" s="9">
        <f>'Model inputs'!I368*(1+'Model inputs'!O485)</f>
        <v>0</v>
      </c>
      <c r="K368" s="9">
        <f>'Model inputs'!J368*(1+'Model inputs'!O485)</f>
        <v>0</v>
      </c>
      <c r="L368" s="9">
        <f>'Model inputs'!K368*(1+'Model inputs'!O485)</f>
        <v>0</v>
      </c>
      <c r="M368" s="9">
        <f>'Model inputs'!L368*(1+'Model inputs'!O485)</f>
        <v>0</v>
      </c>
      <c r="N368" s="9">
        <f>'Model inputs'!M368*(1+'Model inputs'!O485)</f>
        <v>0</v>
      </c>
    </row>
    <row r="369">
      <c r="A369" t="inlineStr" s="26">
        <is>
          <t xml:space="preserve">New customers</t>
        </is>
      </c>
      <c r="B369" s="6">
        <f>SUM('Model inputs'!B370,'Model inputs'!B371)</f>
        <v>27.91434837638456</v>
      </c>
      <c r="C369" s="6">
        <f>SUM('Model inputs'!C370,'Model inputs'!C371)</f>
        <v>0</v>
      </c>
      <c r="D369" s="6">
        <f>SUM('Model inputs'!D370,'Model inputs'!D371)</f>
        <v>6</v>
      </c>
      <c r="E369" s="6">
        <f>SUM('Model inputs'!E370,'Model inputs'!E371)</f>
        <v>6.8999999999999995</v>
      </c>
      <c r="F369" s="6">
        <f>SUM('Model inputs'!F370,'Model inputs'!F371)</f>
        <v>7.934999999999999</v>
      </c>
      <c r="G369" s="6">
        <f>SUM('Model inputs'!G370,'Model inputs'!G371)</f>
        <v>9.125249999999998</v>
      </c>
      <c r="H369" s="6">
        <f>SUM('Model inputs'!H370,'Model inputs'!H371)</f>
        <v>10.494037499999997</v>
      </c>
      <c r="I369" s="6">
        <f>SUM('Model inputs'!I370,'Model inputs'!I371)</f>
        <v>12.068143124999995</v>
      </c>
      <c r="J369" s="6">
        <f>SUM('Model inputs'!J370,'Model inputs'!J371)</f>
        <v>13.878364593749994</v>
      </c>
      <c r="K369" s="6">
        <f>SUM('Model inputs'!K370,'Model inputs'!K371)</f>
        <v>15.960119282812492</v>
      </c>
      <c r="L369" s="6">
        <f>SUM('Model inputs'!L370,'Model inputs'!L371)</f>
        <v>18.354137175234364</v>
      </c>
      <c r="M369" s="6">
        <f>SUM('Model inputs'!M370,'Model inputs'!M371)</f>
        <v>21.10725775151952</v>
      </c>
      <c r="N369" s="6">
        <f>SUM('Model inputs'!N370,'Model inputs'!N371)</f>
        <v>24.273346414247445</v>
      </c>
    </row>
    <row r="370" outlineLevel="1">
      <c r="A370" t="inlineStr" s="27">
        <is>
          <t xml:space="preserve">New customers &gt; Starter</t>
        </is>
      </c>
      <c r="B370" s="9">
        <f>'Model inputs'!N370*(1+'Model inputs'!O486)</f>
        <v>18.609565584256373</v>
      </c>
      <c r="C370" s="9">
        <f>'Model inputs'!C106</f>
        <v>0</v>
      </c>
      <c r="D370" s="9">
        <f>IF('Model inputs'!O459="","",'Model inputs'!O459)</f>
        <v>4</v>
      </c>
      <c r="E370" s="9">
        <f>'Model inputs'!D370*(1+'Model inputs'!O486)</f>
        <v>4.6</v>
      </c>
      <c r="F370" s="9">
        <f>'Model inputs'!E370*(1+'Model inputs'!O486)</f>
        <v>5.289999999999999</v>
      </c>
      <c r="G370" s="9">
        <f>'Model inputs'!F370*(1+'Model inputs'!O486)</f>
        <v>6.083499999999998</v>
      </c>
      <c r="H370" s="9">
        <f>'Model inputs'!G370*(1+'Model inputs'!O486)</f>
        <v>6.996024999999998</v>
      </c>
      <c r="I370" s="9">
        <f>'Model inputs'!H370*(1+'Model inputs'!O486)</f>
        <v>8.045428749999997</v>
      </c>
      <c r="J370" s="9">
        <f>'Model inputs'!I370*(1+'Model inputs'!O486)</f>
        <v>9.252243062499996</v>
      </c>
      <c r="K370" s="9">
        <f>'Model inputs'!J370*(1+'Model inputs'!O486)</f>
        <v>10.640079521874995</v>
      </c>
      <c r="L370" s="9">
        <f>'Model inputs'!K370*(1+'Model inputs'!O486)</f>
        <v>12.236091450156243</v>
      </c>
      <c r="M370" s="9">
        <f>'Model inputs'!L370*(1+'Model inputs'!O486)</f>
        <v>14.071505167679678</v>
      </c>
      <c r="N370" s="9">
        <f>'Model inputs'!M370*(1+'Model inputs'!O486)</f>
        <v>16.18223094283163</v>
      </c>
    </row>
    <row r="371" outlineLevel="1">
      <c r="A371" t="inlineStr" s="27">
        <is>
          <t xml:space="preserve">New customers &gt; Team</t>
        </is>
      </c>
      <c r="B371" s="9">
        <f>'Model inputs'!N371*(1+'Model inputs'!O486)</f>
        <v>9.304782792128186</v>
      </c>
      <c r="C371" s="9">
        <f>'Model inputs'!C107</f>
        <v>0</v>
      </c>
      <c r="D371" s="9">
        <f>IF('Model inputs'!O460="","",'Model inputs'!O460)</f>
        <v>2</v>
      </c>
      <c r="E371" s="9">
        <f>'Model inputs'!D371*(1+'Model inputs'!O486)</f>
        <v>2.3</v>
      </c>
      <c r="F371" s="9">
        <f>'Model inputs'!E371*(1+'Model inputs'!O486)</f>
        <v>2.6449999999999996</v>
      </c>
      <c r="G371" s="9">
        <f>'Model inputs'!F371*(1+'Model inputs'!O486)</f>
        <v>3.041749999999999</v>
      </c>
      <c r="H371" s="9">
        <f>'Model inputs'!G371*(1+'Model inputs'!O486)</f>
        <v>3.498012499999999</v>
      </c>
      <c r="I371" s="9">
        <f>'Model inputs'!H371*(1+'Model inputs'!O486)</f>
        <v>4.022714374999999</v>
      </c>
      <c r="J371" s="9">
        <f>'Model inputs'!I371*(1+'Model inputs'!O486)</f>
        <v>4.626121531249998</v>
      </c>
      <c r="K371" s="9">
        <f>'Model inputs'!J371*(1+'Model inputs'!O486)</f>
        <v>5.320039760937497</v>
      </c>
      <c r="L371" s="9">
        <f>'Model inputs'!K371*(1+'Model inputs'!O486)</f>
        <v>6.1180457250781215</v>
      </c>
      <c r="M371" s="9">
        <f>'Model inputs'!L371*(1+'Model inputs'!O486)</f>
        <v>7.035752583839839</v>
      </c>
      <c r="N371" s="9">
        <f>'Model inputs'!M371*(1+'Model inputs'!O486)</f>
        <v>8.091115471415815</v>
      </c>
    </row>
    <row r="372">
      <c r="A372" t="inlineStr" s="26">
        <is>
          <t xml:space="preserve">New customers</t>
        </is>
      </c>
      <c r="B372" s="6">
        <f>SUM('Model inputs'!B373,'Model inputs'!B374)</f>
        <v>8.55935011833001</v>
      </c>
      <c r="C372" s="6">
        <f>SUM('Model inputs'!C373,'Model inputs'!C374)</f>
        <v>0</v>
      </c>
      <c r="D372" s="6">
        <f>SUM('Model inputs'!D373,'Model inputs'!D374)</f>
        <v>3</v>
      </c>
      <c r="E372" s="6">
        <f>SUM('Model inputs'!E373,'Model inputs'!E374)</f>
        <v>3.3000000000000003</v>
      </c>
      <c r="F372" s="6">
        <f>SUM('Model inputs'!F373,'Model inputs'!F374)</f>
        <v>3.630000000000001</v>
      </c>
      <c r="G372" s="6">
        <f>SUM('Model inputs'!G373,'Model inputs'!G374)</f>
        <v>3.993000000000001</v>
      </c>
      <c r="H372" s="6">
        <f>SUM('Model inputs'!H373,'Model inputs'!H374)</f>
        <v>4.392300000000002</v>
      </c>
      <c r="I372" s="6">
        <f>SUM('Model inputs'!I373,'Model inputs'!I374)</f>
        <v>4.8315300000000025</v>
      </c>
      <c r="J372" s="6">
        <f>SUM('Model inputs'!J373,'Model inputs'!J374)</f>
        <v>5.314683000000003</v>
      </c>
      <c r="K372" s="6">
        <f>SUM('Model inputs'!K373,'Model inputs'!K374)</f>
        <v>5.846151300000004</v>
      </c>
      <c r="L372" s="6">
        <f>SUM('Model inputs'!L373,'Model inputs'!L374)</f>
        <v>6.430766430000005</v>
      </c>
      <c r="M372" s="6">
        <f>SUM('Model inputs'!M373,'Model inputs'!M374)</f>
        <v>7.073843073000006</v>
      </c>
      <c r="N372" s="6">
        <f>SUM('Model inputs'!N373,'Model inputs'!N374)</f>
        <v>7.781227380300007</v>
      </c>
    </row>
    <row r="373" outlineLevel="1">
      <c r="A373" t="inlineStr" s="27">
        <is>
          <t xml:space="preserve">New customers &gt; Starter</t>
        </is>
      </c>
      <c r="B373" s="9">
        <f>'Model inputs'!N373*(1+'Model inputs'!O487)</f>
        <v>5.706233412220006</v>
      </c>
      <c r="C373" s="9">
        <f>'Model inputs'!C106</f>
        <v>0</v>
      </c>
      <c r="D373" s="9">
        <f>IF('Model inputs'!O462="","",'Model inputs'!O462)</f>
        <v>2</v>
      </c>
      <c r="E373" s="9">
        <f>'Model inputs'!D373*(1+'Model inputs'!O487)</f>
        <v>2.2</v>
      </c>
      <c r="F373" s="9">
        <f>'Model inputs'!E373*(1+'Model inputs'!O487)</f>
        <v>2.4200000000000004</v>
      </c>
      <c r="G373" s="9">
        <f>'Model inputs'!F373*(1+'Model inputs'!O487)</f>
        <v>2.662000000000001</v>
      </c>
      <c r="H373" s="9">
        <f>'Model inputs'!G373*(1+'Model inputs'!O487)</f>
        <v>2.9282000000000012</v>
      </c>
      <c r="I373" s="9">
        <f>'Model inputs'!H373*(1+'Model inputs'!O487)</f>
        <v>3.2210200000000015</v>
      </c>
      <c r="J373" s="9">
        <f>'Model inputs'!I373*(1+'Model inputs'!O487)</f>
        <v>3.543122000000002</v>
      </c>
      <c r="K373" s="9">
        <f>'Model inputs'!J373*(1+'Model inputs'!O487)</f>
        <v>3.897434200000003</v>
      </c>
      <c r="L373" s="9">
        <f>'Model inputs'!K373*(1+'Model inputs'!O487)</f>
        <v>4.287177620000003</v>
      </c>
      <c r="M373" s="9">
        <f>'Model inputs'!L373*(1+'Model inputs'!O487)</f>
        <v>4.715895382000004</v>
      </c>
      <c r="N373" s="9">
        <f>'Model inputs'!M373*(1+'Model inputs'!O487)</f>
        <v>5.187484920200005</v>
      </c>
    </row>
    <row r="374" outlineLevel="1">
      <c r="A374" t="inlineStr" s="27">
        <is>
          <t xml:space="preserve">New customers &gt; Team</t>
        </is>
      </c>
      <c r="B374" s="9">
        <f>'Model inputs'!N374*(1+'Model inputs'!O487)</f>
        <v>2.853116706110003</v>
      </c>
      <c r="C374" s="9">
        <f>'Model inputs'!C107</f>
        <v>0</v>
      </c>
      <c r="D374" s="9">
        <f>IF('Model inputs'!O463="","",'Model inputs'!O463)</f>
        <v>1</v>
      </c>
      <c r="E374" s="9">
        <f>'Model inputs'!D374*(1+'Model inputs'!O487)</f>
        <v>1.1</v>
      </c>
      <c r="F374" s="9">
        <f>'Model inputs'!E374*(1+'Model inputs'!O487)</f>
        <v>1.2100000000000002</v>
      </c>
      <c r="G374" s="9">
        <f>'Model inputs'!F374*(1+'Model inputs'!O487)</f>
        <v>1.3310000000000004</v>
      </c>
      <c r="H374" s="9">
        <f>'Model inputs'!G374*(1+'Model inputs'!O487)</f>
        <v>1.4641000000000006</v>
      </c>
      <c r="I374" s="9">
        <f>'Model inputs'!H374*(1+'Model inputs'!O487)</f>
        <v>1.6105100000000008</v>
      </c>
      <c r="J374" s="9">
        <f>'Model inputs'!I374*(1+'Model inputs'!O487)</f>
        <v>1.771561000000001</v>
      </c>
      <c r="K374" s="9">
        <f>'Model inputs'!J374*(1+'Model inputs'!O487)</f>
        <v>1.9487171000000014</v>
      </c>
      <c r="L374" s="9">
        <f>'Model inputs'!K374*(1+'Model inputs'!O487)</f>
        <v>2.1435888100000016</v>
      </c>
      <c r="M374" s="9">
        <f>'Model inputs'!L374*(1+'Model inputs'!O487)</f>
        <v>2.357947691000002</v>
      </c>
      <c r="N374" s="9">
        <f>'Model inputs'!M374*(1+'Model inputs'!O487)</f>
        <v>2.5937424601000023</v>
      </c>
    </row>
    <row r="375">
      <c r="A375" t="inlineStr" s="26">
        <is>
          <t xml:space="preserve">New customers</t>
        </is>
      </c>
      <c r="B375" s="6">
        <f>SUM('Model inputs'!B376,'Model inputs'!B377)</f>
        <v>1.7302923384055573</v>
      </c>
      <c r="C375" s="6">
        <f>SUM('Model inputs'!C376,'Model inputs'!C377)</f>
        <v>0</v>
      </c>
      <c r="D375" s="6">
        <f>SUM('Model inputs'!D376,'Model inputs'!D377)</f>
        <v>1.25</v>
      </c>
      <c r="E375" s="6">
        <f>SUM('Model inputs'!E376,'Model inputs'!E377)</f>
        <v>1.2875</v>
      </c>
      <c r="F375" s="6">
        <f>SUM('Model inputs'!F376,'Model inputs'!F377)</f>
        <v>1.326125</v>
      </c>
      <c r="G375" s="6">
        <f>SUM('Model inputs'!G376,'Model inputs'!G377)</f>
        <v>1.36590875</v>
      </c>
      <c r="H375" s="6">
        <f>SUM('Model inputs'!H376,'Model inputs'!H377)</f>
        <v>1.4068860125000002</v>
      </c>
      <c r="I375" s="6">
        <f>SUM('Model inputs'!I376,'Model inputs'!I377)</f>
        <v>1.449092592875</v>
      </c>
      <c r="J375" s="6">
        <f>SUM('Model inputs'!J376,'Model inputs'!J377)</f>
        <v>1.49256537066125</v>
      </c>
      <c r="K375" s="6">
        <f>SUM('Model inputs'!K376,'Model inputs'!K377)</f>
        <v>1.5373423317810877</v>
      </c>
      <c r="L375" s="6">
        <f>SUM('Model inputs'!L376,'Model inputs'!L377)</f>
        <v>1.5834626017345204</v>
      </c>
      <c r="M375" s="6">
        <f>SUM('Model inputs'!M376,'Model inputs'!M377)</f>
        <v>1.6309664797865562</v>
      </c>
      <c r="N375" s="6">
        <f>SUM('Model inputs'!N376,'Model inputs'!N377)</f>
        <v>1.6798954741801528</v>
      </c>
    </row>
    <row r="376" outlineLevel="1">
      <c r="A376" t="inlineStr" s="27">
        <is>
          <t xml:space="preserve">New customers &gt; Starter</t>
        </is>
      </c>
      <c r="B376" s="9">
        <f>'Model inputs'!N376*(1+'Model inputs'!O488)</f>
        <v>1.384233870724446</v>
      </c>
      <c r="C376" s="9">
        <f>'Model inputs'!C106</f>
        <v>0</v>
      </c>
      <c r="D376" s="9">
        <f>IF('Model inputs'!O465="","",'Model inputs'!O465)</f>
        <v>1</v>
      </c>
      <c r="E376" s="9">
        <f>'Model inputs'!D376*(1+'Model inputs'!O488)</f>
        <v>1.03</v>
      </c>
      <c r="F376" s="9">
        <f>'Model inputs'!E376*(1+'Model inputs'!O488)</f>
        <v>1.0609</v>
      </c>
      <c r="G376" s="9">
        <f>'Model inputs'!F376*(1+'Model inputs'!O488)</f>
        <v>1.092727</v>
      </c>
      <c r="H376" s="9">
        <f>'Model inputs'!G376*(1+'Model inputs'!O488)</f>
        <v>1.1255088100000001</v>
      </c>
      <c r="I376" s="9">
        <f>'Model inputs'!H376*(1+'Model inputs'!O488)</f>
        <v>1.1592740743</v>
      </c>
      <c r="J376" s="9">
        <f>'Model inputs'!I376*(1+'Model inputs'!O488)</f>
        <v>1.1940522965290001</v>
      </c>
      <c r="K376" s="9">
        <f>'Model inputs'!J376*(1+'Model inputs'!O488)</f>
        <v>1.2298738654248702</v>
      </c>
      <c r="L376" s="9">
        <f>'Model inputs'!K376*(1+'Model inputs'!O488)</f>
        <v>1.2667700813876164</v>
      </c>
      <c r="M376" s="9">
        <f>'Model inputs'!L376*(1+'Model inputs'!O488)</f>
        <v>1.304773183829245</v>
      </c>
      <c r="N376" s="9">
        <f>'Model inputs'!M376*(1+'Model inputs'!O488)</f>
        <v>1.3439163793441222</v>
      </c>
    </row>
    <row r="377" outlineLevel="1">
      <c r="A377" t="inlineStr" s="27">
        <is>
          <t xml:space="preserve">New customers &gt; Team</t>
        </is>
      </c>
      <c r="B377" s="9">
        <f>'Model inputs'!N377*(1+'Model inputs'!O488)</f>
        <v>0.3460584676811115</v>
      </c>
      <c r="C377" s="9">
        <f>'Model inputs'!C107</f>
        <v>0</v>
      </c>
      <c r="D377" s="9">
        <f>IF('Model inputs'!O466="","",'Model inputs'!O466)</f>
        <v>0.25</v>
      </c>
      <c r="E377" s="9">
        <f>'Model inputs'!D377*(1+'Model inputs'!O488)</f>
        <v>0.2575</v>
      </c>
      <c r="F377" s="9">
        <f>'Model inputs'!E377*(1+'Model inputs'!O488)</f>
        <v>0.265225</v>
      </c>
      <c r="G377" s="9">
        <f>'Model inputs'!F377*(1+'Model inputs'!O488)</f>
        <v>0.27318175</v>
      </c>
      <c r="H377" s="9">
        <f>'Model inputs'!G377*(1+'Model inputs'!O488)</f>
        <v>0.28137720250000003</v>
      </c>
      <c r="I377" s="9">
        <f>'Model inputs'!H377*(1+'Model inputs'!O488)</f>
        <v>0.289818518575</v>
      </c>
      <c r="J377" s="9">
        <f>'Model inputs'!I377*(1+'Model inputs'!O488)</f>
        <v>0.29851307413225003</v>
      </c>
      <c r="K377" s="9">
        <f>'Model inputs'!J377*(1+'Model inputs'!O488)</f>
        <v>0.30746846635621755</v>
      </c>
      <c r="L377" s="9">
        <f>'Model inputs'!K377*(1+'Model inputs'!O488)</f>
        <v>0.3166925203469041</v>
      </c>
      <c r="M377" s="9">
        <f>'Model inputs'!L377*(1+'Model inputs'!O488)</f>
        <v>0.3261932959573112</v>
      </c>
      <c r="N377" s="9">
        <f>'Model inputs'!M377*(1+'Model inputs'!O488)</f>
        <v>0.33597909483603056</v>
      </c>
    </row>
    <row r="378">
      <c r="A378" t="inlineStr" s="26">
        <is>
          <t xml:space="preserve">Opening customers</t>
        </is>
      </c>
      <c r="B378" s="6">
        <f>SUM('Model inputs'!B379,'Model inputs'!B380)</f>
        <v>0</v>
      </c>
      <c r="C378" s="6">
        <f>SUM('Model inputs'!C379,'Model inputs'!C380)</f>
        <v>0</v>
      </c>
      <c r="D378" s="6">
        <f>SUM('Model inputs'!D379,'Model inputs'!D380)</f>
        <v>0</v>
      </c>
      <c r="E378" s="6">
        <f>SUM('Model inputs'!E379,'Model inputs'!E380)</f>
        <v>0</v>
      </c>
      <c r="F378" s="6">
        <f>SUM('Model inputs'!F379,'Model inputs'!F380)</f>
        <v>0</v>
      </c>
      <c r="G378" s="6">
        <f>SUM('Model inputs'!G379,'Model inputs'!G380)</f>
        <v>0</v>
      </c>
      <c r="H378" s="6">
        <f>SUM('Model inputs'!H379,'Model inputs'!H380)</f>
        <v>0</v>
      </c>
      <c r="I378" s="6">
        <f>SUM('Model inputs'!I379,'Model inputs'!I380)</f>
        <v>0</v>
      </c>
      <c r="J378" s="6">
        <f>SUM('Model inputs'!J379,'Model inputs'!J380)</f>
        <v>0</v>
      </c>
      <c r="K378" s="6">
        <f>SUM('Model inputs'!K379,'Model inputs'!K380)</f>
        <v>0</v>
      </c>
      <c r="L378" s="6">
        <f>SUM('Model inputs'!L379,'Model inputs'!L380)</f>
        <v>0</v>
      </c>
      <c r="M378" s="6">
        <f>SUM('Model inputs'!M379,'Model inputs'!M380)</f>
        <v>0</v>
      </c>
      <c r="N378" s="6">
        <f>SUM('Model inputs'!N379,'Model inputs'!N380)</f>
        <v>0</v>
      </c>
    </row>
    <row r="379" outlineLevel="1">
      <c r="A379" t="inlineStr" s="27">
        <is>
          <t xml:space="preserve">Opening customers &gt; Starter</t>
        </is>
      </c>
      <c r="B379" s="9">
        <f>IF('Model inputs'!N212="","",'Model inputs'!N212)</f>
        <v>0</v>
      </c>
      <c r="C379" s="9">
        <f>'Model inputs'!C110</f>
        <v>0</v>
      </c>
      <c r="D379" s="9">
        <f>IF('Model inputs'!C212="","",'Model inputs'!C212)</f>
        <v>0</v>
      </c>
      <c r="E379" s="9">
        <f>IF('Model inputs'!D212="","",'Model inputs'!D212)</f>
        <v>0</v>
      </c>
      <c r="F379" s="9">
        <f>IF('Model inputs'!E212="","",'Model inputs'!E212)</f>
        <v>0</v>
      </c>
      <c r="G379" s="9">
        <f>IF('Model inputs'!F212="","",'Model inputs'!F212)</f>
        <v>0</v>
      </c>
      <c r="H379" s="9">
        <f>IF('Model inputs'!G212="","",'Model inputs'!G212)</f>
        <v>0</v>
      </c>
      <c r="I379" s="9">
        <f>IF('Model inputs'!H212="","",'Model inputs'!H212)</f>
        <v>0</v>
      </c>
      <c r="J379" s="9">
        <f>IF('Model inputs'!I212="","",'Model inputs'!I212)</f>
        <v>0</v>
      </c>
      <c r="K379" s="9">
        <f>IF('Model inputs'!J212="","",'Model inputs'!J212)</f>
        <v>0</v>
      </c>
      <c r="L379" s="9">
        <f>IF('Model inputs'!K212="","",'Model inputs'!K212)</f>
        <v>0</v>
      </c>
      <c r="M379" s="9">
        <f>IF('Model inputs'!L212="","",'Model inputs'!L212)</f>
        <v>0</v>
      </c>
      <c r="N379" s="9">
        <f>IF('Model inputs'!M212="","",'Model inputs'!M212)</f>
        <v>0</v>
      </c>
    </row>
    <row r="380" outlineLevel="1">
      <c r="A380" t="inlineStr" s="27">
        <is>
          <t xml:space="preserve">Opening customers &gt; Team</t>
        </is>
      </c>
      <c r="B380" s="9">
        <f>IF('Model inputs'!N213="","",'Model inputs'!N213)</f>
        <v>0</v>
      </c>
      <c r="C380" s="9">
        <f>'Model inputs'!C111</f>
        <v>0</v>
      </c>
      <c r="D380" s="9">
        <f>IF('Model inputs'!C213="","",'Model inputs'!C213)</f>
        <v>0</v>
      </c>
      <c r="E380" s="9">
        <f>IF('Model inputs'!D213="","",'Model inputs'!D213)</f>
        <v>0</v>
      </c>
      <c r="F380" s="9">
        <f>IF('Model inputs'!E213="","",'Model inputs'!E213)</f>
        <v>0</v>
      </c>
      <c r="G380" s="9">
        <f>IF('Model inputs'!F213="","",'Model inputs'!F213)</f>
        <v>0</v>
      </c>
      <c r="H380" s="9">
        <f>IF('Model inputs'!G213="","",'Model inputs'!G213)</f>
        <v>0</v>
      </c>
      <c r="I380" s="9">
        <f>IF('Model inputs'!H213="","",'Model inputs'!H213)</f>
        <v>0</v>
      </c>
      <c r="J380" s="9">
        <f>IF('Model inputs'!I213="","",'Model inputs'!I213)</f>
        <v>0</v>
      </c>
      <c r="K380" s="9">
        <f>IF('Model inputs'!J213="","",'Model inputs'!J213)</f>
        <v>0</v>
      </c>
      <c r="L380" s="9">
        <f>IF('Model inputs'!K213="","",'Model inputs'!K213)</f>
        <v>0</v>
      </c>
      <c r="M380" s="9">
        <f>IF('Model inputs'!L213="","",'Model inputs'!L213)</f>
        <v>0</v>
      </c>
      <c r="N380" s="9">
        <f>IF('Model inputs'!M213="","",'Model inputs'!M213)</f>
        <v>0</v>
      </c>
    </row>
    <row r="381">
      <c r="A381" t="inlineStr" s="26">
        <is>
          <t xml:space="preserve">Opening customers</t>
        </is>
      </c>
      <c r="B381" s="6">
        <f>SUM('Model inputs'!B382,'Model inputs'!B383)</f>
        <v>131.23633309920046</v>
      </c>
      <c r="C381" s="6">
        <f>SUM('Model inputs'!C382,'Model inputs'!C383)</f>
        <v>0</v>
      </c>
      <c r="D381" s="6">
        <f>SUM('Model inputs'!D382,'Model inputs'!D383)</f>
        <v>0</v>
      </c>
      <c r="E381" s="6">
        <f>SUM('Model inputs'!E382,'Model inputs'!E383)</f>
        <v>6</v>
      </c>
      <c r="F381" s="6">
        <f>SUM('Model inputs'!F382,'Model inputs'!F383)</f>
        <v>12.72</v>
      </c>
      <c r="G381" s="6">
        <f>SUM('Model inputs'!G382,'Model inputs'!G383)</f>
        <v>20.2734</v>
      </c>
      <c r="H381" s="6">
        <f>SUM('Model inputs'!H382,'Model inputs'!H383)</f>
        <v>28.790447999999998</v>
      </c>
      <c r="I381" s="6">
        <f>SUM('Model inputs'!I382,'Model inputs'!I383)</f>
        <v>38.42077206</v>
      </c>
      <c r="J381" s="6">
        <f>SUM('Model inputs'!J382,'Model inputs'!J383)</f>
        <v>49.33629202319999</v>
      </c>
      <c r="K381" s="6">
        <f>SUM('Model inputs'!K382,'Model inputs'!K383)</f>
        <v>61.73456785625399</v>
      </c>
      <c r="L381" s="6">
        <f>SUM('Model inputs'!L382,'Model inputs'!L383)</f>
        <v>75.84265010337886</v>
      </c>
      <c r="M381" s="6">
        <f>SUM('Model inputs'!M382,'Model inputs'!M383)</f>
        <v>91.92150777551186</v>
      </c>
      <c r="N381" s="6">
        <f>SUM('Model inputs'!N382,'Model inputs'!N383)</f>
        <v>110.27112029376602</v>
      </c>
    </row>
    <row r="382" outlineLevel="1">
      <c r="A382" t="inlineStr" s="27">
        <is>
          <t xml:space="preserve">Opening customers &gt; Starter</t>
        </is>
      </c>
      <c r="B382" s="9">
        <f>IF('Model inputs'!N215="","",'Model inputs'!N215)</f>
        <v>87.49088873280031</v>
      </c>
      <c r="C382" s="9">
        <f>'Model inputs'!C110</f>
        <v>0</v>
      </c>
      <c r="D382" s="9">
        <f>IF('Model inputs'!C450="","",'Model inputs'!C450)</f>
        <v>0</v>
      </c>
      <c r="E382" s="9">
        <f>IF('Model inputs'!D215="","",'Model inputs'!D215)</f>
        <v>4</v>
      </c>
      <c r="F382" s="9">
        <f>IF('Model inputs'!E215="","",'Model inputs'!E215)</f>
        <v>8.48</v>
      </c>
      <c r="G382" s="9">
        <f>IF('Model inputs'!F215="","",'Model inputs'!F215)</f>
        <v>13.5156</v>
      </c>
      <c r="H382" s="9">
        <f>IF('Model inputs'!G215="","",'Model inputs'!G215)</f>
        <v>19.193631999999997</v>
      </c>
      <c r="I382" s="9">
        <f>IF('Model inputs'!H215="","",'Model inputs'!H215)</f>
        <v>25.613848039999997</v>
      </c>
      <c r="J382" s="9">
        <f>IF('Model inputs'!I215="","",'Model inputs'!I215)</f>
        <v>32.890861348799994</v>
      </c>
      <c r="K382" s="9">
        <f>IF('Model inputs'!J215="","",'Model inputs'!J215)</f>
        <v>41.15637857083599</v>
      </c>
      <c r="L382" s="9">
        <f>IF('Model inputs'!K215="","",'Model inputs'!K215)</f>
        <v>50.561766735585906</v>
      </c>
      <c r="M382" s="9">
        <f>IF('Model inputs'!L215="","",'Model inputs'!L215)</f>
        <v>61.28100518367457</v>
      </c>
      <c r="N382" s="9">
        <f>IF('Model inputs'!M215="","",'Model inputs'!M215)</f>
        <v>73.51408019584402</v>
      </c>
    </row>
    <row r="383" outlineLevel="1">
      <c r="A383" t="inlineStr" s="27">
        <is>
          <t xml:space="preserve">Opening customers &gt; Team</t>
        </is>
      </c>
      <c r="B383" s="9">
        <f>IF('Model inputs'!N216="","",'Model inputs'!N216)</f>
        <v>43.74544436640016</v>
      </c>
      <c r="C383" s="9">
        <f>'Model inputs'!C111</f>
        <v>0</v>
      </c>
      <c r="D383" s="9">
        <f>IF('Model inputs'!C451="","",'Model inputs'!C451)</f>
        <v>0</v>
      </c>
      <c r="E383" s="9">
        <f>IF('Model inputs'!D216="","",'Model inputs'!D216)</f>
        <v>2</v>
      </c>
      <c r="F383" s="9">
        <f>IF('Model inputs'!E216="","",'Model inputs'!E216)</f>
        <v>4.24</v>
      </c>
      <c r="G383" s="9">
        <f>IF('Model inputs'!F216="","",'Model inputs'!F216)</f>
        <v>6.7578</v>
      </c>
      <c r="H383" s="9">
        <f>IF('Model inputs'!G216="","",'Model inputs'!G216)</f>
        <v>9.596815999999999</v>
      </c>
      <c r="I383" s="9">
        <f>IF('Model inputs'!H216="","",'Model inputs'!H216)</f>
        <v>12.806924019999999</v>
      </c>
      <c r="J383" s="9">
        <f>IF('Model inputs'!I216="","",'Model inputs'!I216)</f>
        <v>16.445430674399997</v>
      </c>
      <c r="K383" s="9">
        <f>IF('Model inputs'!J216="","",'Model inputs'!J216)</f>
        <v>20.578189285417995</v>
      </c>
      <c r="L383" s="9">
        <f>IF('Model inputs'!K216="","",'Model inputs'!K216)</f>
        <v>25.280883367792953</v>
      </c>
      <c r="M383" s="9">
        <f>IF('Model inputs'!L216="","",'Model inputs'!L216)</f>
        <v>30.640502591837286</v>
      </c>
      <c r="N383" s="9">
        <f>IF('Model inputs'!M216="","",'Model inputs'!M216)</f>
        <v>36.75704009792201</v>
      </c>
    </row>
    <row r="384">
      <c r="A384" t="inlineStr" s="26">
        <is>
          <t xml:space="preserve">Opening customers</t>
        </is>
      </c>
      <c r="B384" s="6">
        <f>SUM('Model inputs'!B385,'Model inputs'!B386)</f>
        <v>45.68633227667084</v>
      </c>
      <c r="C384" s="6">
        <f>SUM('Model inputs'!C385,'Model inputs'!C386)</f>
        <v>0</v>
      </c>
      <c r="D384" s="6">
        <f>SUM('Model inputs'!D385,'Model inputs'!D386)</f>
        <v>0</v>
      </c>
      <c r="E384" s="6">
        <f>SUM('Model inputs'!E385,'Model inputs'!E386)</f>
        <v>3</v>
      </c>
      <c r="F384" s="6">
        <f>SUM('Model inputs'!F385,'Model inputs'!F386)</f>
        <v>6.15</v>
      </c>
      <c r="G384" s="6">
        <f>SUM('Model inputs'!G385,'Model inputs'!G386)</f>
        <v>9.472500000000002</v>
      </c>
      <c r="H384" s="6">
        <f>SUM('Model inputs'!H385,'Model inputs'!H386)</f>
        <v>12.991875000000004</v>
      </c>
      <c r="I384" s="6">
        <f>SUM('Model inputs'!I385,'Model inputs'!I386)</f>
        <v>16.734581250000005</v>
      </c>
      <c r="J384" s="6">
        <f>SUM('Model inputs'!J385,'Model inputs'!J386)</f>
        <v>20.729382187500008</v>
      </c>
      <c r="K384" s="6">
        <f>SUM('Model inputs'!K385,'Model inputs'!K386)</f>
        <v>25.007596078125008</v>
      </c>
      <c r="L384" s="6">
        <f>SUM('Model inputs'!L385,'Model inputs'!L386)</f>
        <v>29.603367574218765</v>
      </c>
      <c r="M384" s="6">
        <f>SUM('Model inputs'!M385,'Model inputs'!M386)</f>
        <v>34.55396562550783</v>
      </c>
      <c r="N384" s="6">
        <f>SUM('Model inputs'!N385,'Model inputs'!N386)</f>
        <v>39.90011041723245</v>
      </c>
    </row>
    <row r="385" outlineLevel="1">
      <c r="A385" t="inlineStr" s="27">
        <is>
          <t xml:space="preserve">Opening customers &gt; Starter</t>
        </is>
      </c>
      <c r="B385" s="9">
        <f>IF('Model inputs'!N218="","",'Model inputs'!N218)</f>
        <v>30.45755485111389</v>
      </c>
      <c r="C385" s="9">
        <f>'Model inputs'!C110</f>
        <v>0</v>
      </c>
      <c r="D385" s="9">
        <f>IF('Model inputs'!C218="","",'Model inputs'!C218)</f>
        <v>0</v>
      </c>
      <c r="E385" s="9">
        <f>IF('Model inputs'!D218="","",'Model inputs'!D218)</f>
        <v>2</v>
      </c>
      <c r="F385" s="9">
        <f>IF('Model inputs'!E218="","",'Model inputs'!E218)</f>
        <v>4.1000000000000005</v>
      </c>
      <c r="G385" s="9">
        <f>IF('Model inputs'!F218="","",'Model inputs'!F218)</f>
        <v>6.315000000000001</v>
      </c>
      <c r="H385" s="9">
        <f>IF('Model inputs'!G218="","",'Model inputs'!G218)</f>
        <v>8.661250000000003</v>
      </c>
      <c r="I385" s="9">
        <f>IF('Model inputs'!H218="","",'Model inputs'!H218)</f>
        <v>11.156387500000003</v>
      </c>
      <c r="J385" s="9">
        <f>IF('Model inputs'!I218="","",'Model inputs'!I218)</f>
        <v>13.819588125000005</v>
      </c>
      <c r="K385" s="9">
        <f>IF('Model inputs'!J218="","",'Model inputs'!J218)</f>
        <v>16.671730718750005</v>
      </c>
      <c r="L385" s="9">
        <f>IF('Model inputs'!K218="","",'Model inputs'!K218)</f>
        <v>19.73557838281251</v>
      </c>
      <c r="M385" s="9">
        <f>IF('Model inputs'!L218="","",'Model inputs'!L218)</f>
        <v>23.035977083671888</v>
      </c>
      <c r="N385" s="9">
        <f>IF('Model inputs'!M218="","",'Model inputs'!M218)</f>
        <v>26.6000736114883</v>
      </c>
    </row>
    <row r="386" outlineLevel="1">
      <c r="A386" t="inlineStr" s="27">
        <is>
          <t xml:space="preserve">Opening customers &gt; Team</t>
        </is>
      </c>
      <c r="B386" s="9">
        <f>IF('Model inputs'!N219="","",'Model inputs'!N219)</f>
        <v>15.228777425556945</v>
      </c>
      <c r="C386" s="9">
        <f>'Model inputs'!C111</f>
        <v>0</v>
      </c>
      <c r="D386" s="9">
        <f>IF('Model inputs'!C219="","",'Model inputs'!C219)</f>
        <v>0</v>
      </c>
      <c r="E386" s="9">
        <f>IF('Model inputs'!D219="","",'Model inputs'!D219)</f>
        <v>1</v>
      </c>
      <c r="F386" s="9">
        <f>IF('Model inputs'!E219="","",'Model inputs'!E219)</f>
        <v>2.0500000000000003</v>
      </c>
      <c r="G386" s="9">
        <f>IF('Model inputs'!F219="","",'Model inputs'!F219)</f>
        <v>3.1575000000000006</v>
      </c>
      <c r="H386" s="9">
        <f>IF('Model inputs'!G219="","",'Model inputs'!G219)</f>
        <v>4.330625000000001</v>
      </c>
      <c r="I386" s="9">
        <f>IF('Model inputs'!H219="","",'Model inputs'!H219)</f>
        <v>5.578193750000001</v>
      </c>
      <c r="J386" s="9">
        <f>IF('Model inputs'!I219="","",'Model inputs'!I219)</f>
        <v>6.909794062500002</v>
      </c>
      <c r="K386" s="9">
        <f>IF('Model inputs'!J219="","",'Model inputs'!J219)</f>
        <v>8.335865359375003</v>
      </c>
      <c r="L386" s="9">
        <f>IF('Model inputs'!K219="","",'Model inputs'!K219)</f>
        <v>9.867789191406255</v>
      </c>
      <c r="M386" s="9">
        <f>IF('Model inputs'!L219="","",'Model inputs'!L219)</f>
        <v>11.517988541835944</v>
      </c>
      <c r="N386" s="9">
        <f>IF('Model inputs'!M219="","",'Model inputs'!M219)</f>
        <v>13.30003680574415</v>
      </c>
    </row>
    <row r="387">
      <c r="A387" t="inlineStr" s="26">
        <is>
          <t xml:space="preserve">Opening customers</t>
        </is>
      </c>
      <c r="B387" s="6">
        <f>SUM('Model inputs'!B388,'Model inputs'!B389)</f>
        <v>11.18859650953073</v>
      </c>
      <c r="C387" s="6">
        <f>SUM('Model inputs'!C388,'Model inputs'!C389)</f>
        <v>0</v>
      </c>
      <c r="D387" s="6">
        <f>SUM('Model inputs'!D388,'Model inputs'!D389)</f>
        <v>0</v>
      </c>
      <c r="E387" s="6">
        <f>SUM('Model inputs'!E388,'Model inputs'!E389)</f>
        <v>1.25</v>
      </c>
      <c r="F387" s="6">
        <f>SUM('Model inputs'!F388,'Model inputs'!F389)</f>
        <v>2.4375</v>
      </c>
      <c r="G387" s="6">
        <f>SUM('Model inputs'!G388,'Model inputs'!G389)</f>
        <v>3.5686250000000004</v>
      </c>
      <c r="H387" s="6">
        <f>SUM('Model inputs'!H388,'Model inputs'!H389)</f>
        <v>4.649043750000001</v>
      </c>
      <c r="I387" s="6">
        <f>SUM('Model inputs'!I388,'Model inputs'!I389)</f>
        <v>5.6840062625000005</v>
      </c>
      <c r="J387" s="6">
        <f>SUM('Model inputs'!J388,'Model inputs'!J389)</f>
        <v>6.678378354375001</v>
      </c>
      <c r="K387" s="6">
        <f>SUM('Model inputs'!K388,'Model inputs'!K389)</f>
        <v>7.636673456686251</v>
      </c>
      <c r="L387" s="6">
        <f>SUM('Model inputs'!L388,'Model inputs'!L389)</f>
        <v>8.563081911932438</v>
      </c>
      <c r="M387" s="6">
        <f>SUM('Model inputs'!M388,'Model inputs'!M389)</f>
        <v>9.461497960712363</v>
      </c>
      <c r="N387" s="6">
        <f>SUM('Model inputs'!N388,'Model inputs'!N389)</f>
        <v>10.335544603641932</v>
      </c>
    </row>
    <row r="388" outlineLevel="1">
      <c r="A388" t="inlineStr" s="27">
        <is>
          <t xml:space="preserve">Opening customers &gt; Starter</t>
        </is>
      </c>
      <c r="B388" s="9">
        <f>IF('Model inputs'!N221="","",'Model inputs'!N221)</f>
        <v>8.950877207624583</v>
      </c>
      <c r="C388" s="9">
        <f>'Model inputs'!C110</f>
        <v>0</v>
      </c>
      <c r="D388" s="9">
        <f>IF('Model inputs'!C453="","",'Model inputs'!C453)</f>
        <v>0</v>
      </c>
      <c r="E388" s="9">
        <f>IF('Model inputs'!D221="","",'Model inputs'!D221)</f>
        <v>1</v>
      </c>
      <c r="F388" s="9">
        <f>IF('Model inputs'!E221="","",'Model inputs'!E221)</f>
        <v>1.9500000000000002</v>
      </c>
      <c r="G388" s="9">
        <f>IF('Model inputs'!F221="","",'Model inputs'!F221)</f>
        <v>2.8549</v>
      </c>
      <c r="H388" s="9">
        <f>IF('Model inputs'!G221="","",'Model inputs'!G221)</f>
        <v>3.7192350000000003</v>
      </c>
      <c r="I388" s="9">
        <f>IF('Model inputs'!H221="","",'Model inputs'!H221)</f>
        <v>4.547205010000001</v>
      </c>
      <c r="J388" s="9">
        <f>IF('Model inputs'!I221="","",'Model inputs'!I221)</f>
        <v>5.342702683500001</v>
      </c>
      <c r="K388" s="9">
        <f>IF('Model inputs'!J221="","",'Model inputs'!J221)</f>
        <v>6.109338765349</v>
      </c>
      <c r="L388" s="9">
        <f>IF('Model inputs'!K221="","",'Model inputs'!K221)</f>
        <v>6.85046552954595</v>
      </c>
      <c r="M388" s="9">
        <f>IF('Model inputs'!L221="","",'Model inputs'!L221)</f>
        <v>7.56919836856989</v>
      </c>
      <c r="N388" s="9">
        <f>IF('Model inputs'!M221="","",'Model inputs'!M221)</f>
        <v>8.268435682913545</v>
      </c>
    </row>
    <row r="389" outlineLevel="1">
      <c r="A389" t="inlineStr" s="27">
        <is>
          <t xml:space="preserve">Opening customers &gt; Team</t>
        </is>
      </c>
      <c r="B389" s="9">
        <f>IF('Model inputs'!N222="","",'Model inputs'!N222)</f>
        <v>2.2377193019061457</v>
      </c>
      <c r="C389" s="9">
        <f>'Model inputs'!C111</f>
        <v>0</v>
      </c>
      <c r="D389" s="9">
        <f>IF('Model inputs'!C454="","",'Model inputs'!C454)</f>
        <v>0</v>
      </c>
      <c r="E389" s="9">
        <f>IF('Model inputs'!D222="","",'Model inputs'!D222)</f>
        <v>0.25</v>
      </c>
      <c r="F389" s="9">
        <f>IF('Model inputs'!E222="","",'Model inputs'!E222)</f>
        <v>0.48750000000000004</v>
      </c>
      <c r="G389" s="9">
        <f>IF('Model inputs'!F222="","",'Model inputs'!F222)</f>
        <v>0.713725</v>
      </c>
      <c r="H389" s="9">
        <f>IF('Model inputs'!G222="","",'Model inputs'!G222)</f>
        <v>0.9298087500000001</v>
      </c>
      <c r="I389" s="9">
        <f>IF('Model inputs'!H222="","",'Model inputs'!H222)</f>
        <v>1.1368012525000002</v>
      </c>
      <c r="J389" s="9">
        <f>IF('Model inputs'!I222="","",'Model inputs'!I222)</f>
        <v>1.3356756708750002</v>
      </c>
      <c r="K389" s="9">
        <f>IF('Model inputs'!J222="","",'Model inputs'!J222)</f>
        <v>1.52733469133725</v>
      </c>
      <c r="L389" s="9">
        <f>IF('Model inputs'!K222="","",'Model inputs'!K222)</f>
        <v>1.7126163823864875</v>
      </c>
      <c r="M389" s="9">
        <f>IF('Model inputs'!L222="","",'Model inputs'!L222)</f>
        <v>1.8922995921424726</v>
      </c>
      <c r="N389" s="9">
        <f>IF('Model inputs'!M222="","",'Model inputs'!M222)</f>
        <v>2.067108920728386</v>
      </c>
    </row>
    <row r="390">
      <c r="A390" t="inlineStr" s="26">
        <is>
          <t xml:space="preserve">Operating profit · Closing cash · Growth · Growth</t>
        </is>
      </c>
      <c r="B390" s="8">
        <f>IF('Model inputs'!B55="","",'Model inputs'!B55)</f>
        <v>10915.296352094763</v>
      </c>
      <c r="C390" s="8">
        <v>0</v>
      </c>
      <c r="D390" s="8">
        <f>IF('Model inputs'!D55="","",'Model inputs'!D55)</f>
        <v>-354.86</v>
      </c>
      <c r="E390" s="8">
        <f>IF('Model inputs'!E55="","",'Model inputs'!E55)</f>
        <v>343.69679999999994</v>
      </c>
      <c r="F390" s="8">
        <f>IF('Model inputs'!F55="","",'Model inputs'!F55)</f>
        <v>904.0835459999996</v>
      </c>
      <c r="G390" s="8">
        <f>IF('Model inputs'!G55="","",'Model inputs'!G55)</f>
        <v>1535.9633371199998</v>
      </c>
      <c r="H390" s="8">
        <f>IF('Model inputs'!H55="","",'Model inputs'!H55)</f>
        <v>2250.4370791313995</v>
      </c>
      <c r="I390" s="8">
        <f>IF('Model inputs'!I55="","",'Model inputs'!I55)</f>
        <v>3060.2595052012075</v>
      </c>
      <c r="J390" s="8">
        <f>IF('Model inputs'!J55="","",'Model inputs'!J55)</f>
        <v>3980.087589255484</v>
      </c>
      <c r="K390" s="8">
        <f>IF('Model inputs'!K55="","",'Model inputs'!K55)</f>
        <v>5026.766211169678</v>
      </c>
      <c r="L390" s="8">
        <f>IF('Model inputs'!L55="","",'Model inputs'!L55)</f>
        <v>6219.656661865225</v>
      </c>
      <c r="M390" s="8">
        <f>IF('Model inputs'!M55="","",'Model inputs'!M55)</f>
        <v>7581.014414594501</v>
      </c>
      <c r="N390" s="8">
        <f>IF('Model inputs'!N55="","",'Model inputs'!N55)</f>
        <v>9136.423552629682</v>
      </c>
    </row>
    <row r="391">
      <c r="A391" t="inlineStr" s="26">
        <is>
          <t xml:space="preserve">Operating profit · Closing cash · Conservative · Conservative</t>
        </is>
      </c>
      <c r="B391" s="8">
        <f>IF('Model inputs'!B57="","",'Model inputs'!B57)</f>
        <v>348.13544739048837</v>
      </c>
      <c r="C391" s="8">
        <v>0</v>
      </c>
      <c r="D391" s="8">
        <f>IF('Model inputs'!D57="","",'Model inputs'!D57)</f>
        <v>-499.8225</v>
      </c>
      <c r="E391" s="8">
        <f>IF('Model inputs'!E57="","",'Model inputs'!E57)</f>
        <v>-228.40387499999997</v>
      </c>
      <c r="F391" s="8">
        <f>IF('Model inputs'!F57="","",'Model inputs'!F57)</f>
        <v>-160.37575524999994</v>
      </c>
      <c r="G391" s="8">
        <f>IF('Model inputs'!G57="","",'Model inputs'!G57)</f>
        <v>-95.3972107875</v>
      </c>
      <c r="H391" s="8">
        <f>IF('Model inputs'!H57="","",'Model inputs'!H57)</f>
        <v>-33.15249536072497</v>
      </c>
      <c r="I391" s="8">
        <f>IF('Model inputs'!I57="","",'Model inputs'!I57)</f>
        <v>26.651030988821276</v>
      </c>
      <c r="J391" s="8">
        <f>IF('Model inputs'!J57="","",'Model inputs'!J57)</f>
        <v>84.28481503202454</v>
      </c>
      <c r="K391" s="8">
        <f>IF('Model inputs'!K57="","",'Model inputs'!K57)</f>
        <v>140.00087234744058</v>
      </c>
      <c r="L391" s="8">
        <f>IF('Model inputs'!L57="","",'Model inputs'!L57)</f>
        <v>194.03341035316294</v>
      </c>
      <c r="M391" s="8">
        <f>IF('Model inputs'!M57="","",'Model inputs'!M57)</f>
        <v>246.60032355223302</v>
      </c>
      <c r="N391" s="8">
        <f>IF('Model inputs'!N57="","",'Model inputs'!N57)</f>
        <v>297.90457127619703</v>
      </c>
    </row>
    <row r="392">
      <c r="A392" t="inlineStr" s="26">
        <is>
          <t xml:space="preserve">Overage price per verification</t>
        </is>
      </c>
      <c r="O392" s="19">
        <v>0</v>
      </c>
    </row>
    <row r="393" outlineLevel="1">
      <c r="A393" t="inlineStr" s="27">
        <is>
          <t xml:space="preserve">Overage price per verification &gt; Starter</t>
        </is>
      </c>
      <c r="O393" s="28">
        <f>'NeatRescue — Assumptions &amp; (2)'!E5</f>
        <v>0.1</v>
      </c>
    </row>
    <row r="394" outlineLevel="1">
      <c r="A394" t="inlineStr" s="27">
        <is>
          <t xml:space="preserve">Overage price per verification &gt; Team</t>
        </is>
      </c>
      <c r="O394" s="28">
        <f>'NeatRescue — Assumptions &amp; (2)'!E6</f>
        <v>0.1</v>
      </c>
    </row>
    <row r="395">
      <c r="A395" t="inlineStr" s="26">
        <is>
          <t xml:space="preserve">Overage price per verification</t>
        </is>
      </c>
      <c r="O395" s="19">
        <v>0</v>
      </c>
    </row>
    <row r="396" outlineLevel="1">
      <c r="A396" t="inlineStr" s="27">
        <is>
          <t xml:space="preserve">Overage price per verification &gt; Starter</t>
        </is>
      </c>
      <c r="O396" s="28">
        <f>'NeatRescue — Assumptions &amp; (2)'!E5</f>
        <v>0.1</v>
      </c>
    </row>
    <row r="397" outlineLevel="1">
      <c r="A397" t="inlineStr" s="27">
        <is>
          <t xml:space="preserve">Overage price per verification &gt; Team</t>
        </is>
      </c>
      <c r="O397" s="28">
        <f>'NeatRescue — Assumptions &amp; (2)'!E6</f>
        <v>0.1</v>
      </c>
    </row>
    <row r="398">
      <c r="A398" t="inlineStr" s="26">
        <is>
          <t xml:space="preserve">Revenue</t>
        </is>
      </c>
      <c r="B398" s="16">
        <f>IF('Model inputs'!B63="","",'Model inputs'!B63)</f>
        <v>16607.854288639166</v>
      </c>
      <c r="C398" s="16">
        <f>SUM('Model inputs'!C399,'Model inputs'!C400)</f>
        <v>0</v>
      </c>
      <c r="D398" s="16">
        <f>IF('Model inputs'!D63="","",'Model inputs'!D63)</f>
        <v>642</v>
      </c>
      <c r="E398" s="16">
        <f>IF('Model inputs'!E63="","",'Model inputs'!E63)</f>
        <v>1361.04</v>
      </c>
      <c r="F398" s="16">
        <f>IF('Model inputs'!F63="","",'Model inputs'!F63)</f>
        <v>2169.2537999999995</v>
      </c>
      <c r="G398" s="16">
        <f>IF('Model inputs'!G63="","",'Model inputs'!G63)</f>
        <v>3080.5779359999997</v>
      </c>
      <c r="H398" s="16">
        <f>IF('Model inputs'!H63="","",'Model inputs'!H63)</f>
        <v>4111.022610419999</v>
      </c>
      <c r="I398" s="16">
        <f>IF('Model inputs'!I63="","",'Model inputs'!I63)</f>
        <v>5278.983246482399</v>
      </c>
      <c r="J398" s="16">
        <f>IF('Model inputs'!J63="","",'Model inputs'!J63)</f>
        <v>6605.5987606191775</v>
      </c>
      <c r="K398" s="16">
        <f>IF('Model inputs'!K63="","",'Model inputs'!K63)</f>
        <v>8115.1635610615385</v>
      </c>
      <c r="L398" s="16">
        <f>IF('Model inputs'!L63="","",'Model inputs'!L63)</f>
        <v>9835.60133197977</v>
      </c>
      <c r="M398" s="16">
        <f>IF('Model inputs'!M63="","",'Model inputs'!M63)</f>
        <v>11799.009871432965</v>
      </c>
      <c r="N398" s="16">
        <f>IF('Model inputs'!N63="","",'Model inputs'!N63)</f>
        <v>14042.28764161445</v>
      </c>
    </row>
    <row r="399" outlineLevel="1">
      <c r="A399" t="inlineStr" s="27">
        <is>
          <t xml:space="preserve">Revenue &gt; Starter</t>
        </is>
      </c>
      <c r="B399" s="8">
        <f>IF('Model inputs'!B65="","",'Model inputs'!B65)</f>
        <v>5277.262110408707</v>
      </c>
      <c r="C399" s="8">
        <f>'Model inputs'!C60</f>
        <v>0</v>
      </c>
      <c r="D399" s="8">
        <f>IF('Model inputs'!D65="","",'Model inputs'!D65)</f>
        <v>204</v>
      </c>
      <c r="E399" s="8">
        <f>IF('Model inputs'!E65="","",'Model inputs'!E65)</f>
        <v>432.48</v>
      </c>
      <c r="F399" s="8">
        <f>IF('Model inputs'!F65="","",'Model inputs'!F65)</f>
        <v>689.2955999999999</v>
      </c>
      <c r="G399" s="8">
        <f>IF('Model inputs'!G65="","",'Model inputs'!G65)</f>
        <v>978.8752319999999</v>
      </c>
      <c r="H399" s="8">
        <f>IF('Model inputs'!H65="","",'Model inputs'!H65)</f>
        <v>1306.30625004</v>
      </c>
      <c r="I399" s="8">
        <f>IF('Model inputs'!I65="","",'Model inputs'!I65)</f>
        <v>1677.4339287887997</v>
      </c>
      <c r="J399" s="8">
        <f>IF('Model inputs'!J65="","",'Model inputs'!J65)</f>
        <v>2098.9753071126356</v>
      </c>
      <c r="K399" s="8">
        <f>IF('Model inputs'!K65="","",'Model inputs'!K65)</f>
        <v>2578.6501035148813</v>
      </c>
      <c r="L399" s="8">
        <f>IF('Model inputs'!L65="","",'Model inputs'!L65)</f>
        <v>3125.331264367403</v>
      </c>
      <c r="M399" s="8">
        <f>IF('Model inputs'!M65="","",'Model inputs'!M65)</f>
        <v>3749.2180899880445</v>
      </c>
      <c r="N399" s="8">
        <f>IF('Model inputs'!N65="","",'Model inputs'!N65)</f>
        <v>4462.035325372815</v>
      </c>
    </row>
    <row r="400" outlineLevel="1">
      <c r="A400" t="inlineStr" s="27">
        <is>
          <t xml:space="preserve">Revenue &gt; Team</t>
        </is>
      </c>
      <c r="B400" s="8">
        <f>IF('Model inputs'!B66="","",'Model inputs'!B66)</f>
        <v>11330.592178230458</v>
      </c>
      <c r="C400" s="8">
        <f>'Model inputs'!C61</f>
        <v>0</v>
      </c>
      <c r="D400" s="8">
        <f>IF('Model inputs'!D66="","",'Model inputs'!D66)</f>
        <v>438</v>
      </c>
      <c r="E400" s="8">
        <f>IF('Model inputs'!E66="","",'Model inputs'!E66)</f>
        <v>928.56</v>
      </c>
      <c r="F400" s="8">
        <f>IF('Model inputs'!F66="","",'Model inputs'!F66)</f>
        <v>1479.9581999999998</v>
      </c>
      <c r="G400" s="8">
        <f>IF('Model inputs'!G66="","",'Model inputs'!G66)</f>
        <v>2101.702704</v>
      </c>
      <c r="H400" s="8">
        <f>IF('Model inputs'!H66="","",'Model inputs'!H66)</f>
        <v>2804.7163603799995</v>
      </c>
      <c r="I400" s="8">
        <f>IF('Model inputs'!I66="","",'Model inputs'!I66)</f>
        <v>3601.5493176935993</v>
      </c>
      <c r="J400" s="8">
        <f>IF('Model inputs'!J66="","",'Model inputs'!J66)</f>
        <v>4506.623453506541</v>
      </c>
      <c r="K400" s="8">
        <f>IF('Model inputs'!K66="","",'Model inputs'!K66)</f>
        <v>5536.513457546657</v>
      </c>
      <c r="L400" s="8">
        <f>IF('Model inputs'!L66="","",'Model inputs'!L66)</f>
        <v>6710.270067612366</v>
      </c>
      <c r="M400" s="8">
        <f>IF('Model inputs'!M66="","",'Model inputs'!M66)</f>
        <v>8049.79178144492</v>
      </c>
      <c r="N400" s="8">
        <f>IF('Model inputs'!N66="","",'Model inputs'!N66)</f>
        <v>9580.252316241635</v>
      </c>
    </row>
    <row r="401">
      <c r="A401" t="inlineStr" s="26">
        <is>
          <t xml:space="preserve">Revenue</t>
        </is>
      </c>
      <c r="B401" s="16">
        <f>IF('Model inputs'!B68="","",'Model inputs'!B68)</f>
        <v>1017.2135753589058</v>
      </c>
      <c r="C401" s="16">
        <f>SUM('Model inputs'!C402,'Model inputs'!C403)</f>
        <v>0</v>
      </c>
      <c r="D401" s="16">
        <f>IF('Model inputs'!D68="","",'Model inputs'!D68)</f>
        <v>105.75</v>
      </c>
      <c r="E401" s="16">
        <f>IF('Model inputs'!E68="","",'Model inputs'!E68)</f>
        <v>206.21250000000003</v>
      </c>
      <c r="F401" s="16">
        <f>IF('Model inputs'!F68="","",'Model inputs'!F68)</f>
        <v>301.90567500000003</v>
      </c>
      <c r="G401" s="16">
        <f>IF('Model inputs'!G68="","",'Model inputs'!G68)</f>
        <v>393.30910125</v>
      </c>
      <c r="H401" s="16">
        <f>IF('Model inputs'!H68="","",'Model inputs'!H68)</f>
        <v>480.86692980750007</v>
      </c>
      <c r="I401" s="16">
        <f>IF('Model inputs'!I68="","",'Model inputs'!I68)</f>
        <v>564.990808780125</v>
      </c>
      <c r="J401" s="16">
        <f>IF('Model inputs'!J68="","",'Model inputs'!J68)</f>
        <v>646.0625744356569</v>
      </c>
      <c r="K401" s="16">
        <f>IF('Model inputs'!K68="","",'Model inputs'!K68)</f>
        <v>724.4367297494841</v>
      </c>
      <c r="L401" s="16">
        <f>IF('Model inputs'!L68="","",'Model inputs'!L68)</f>
        <v>800.4427274762659</v>
      </c>
      <c r="M401" s="16">
        <f>IF('Model inputs'!M68="","",'Model inputs'!M68)</f>
        <v>874.3870734681074</v>
      </c>
      <c r="N401" s="16">
        <f>IF('Model inputs'!N68="","",'Model inputs'!N68)</f>
        <v>946.5552647062996</v>
      </c>
    </row>
    <row r="402" outlineLevel="1">
      <c r="A402" t="inlineStr" s="27">
        <is>
          <t xml:space="preserve">Revenue &gt; Starter</t>
        </is>
      </c>
      <c r="B402" s="8">
        <f>IF('Model inputs'!B70="","",'Model inputs'!B70)</f>
        <v>490.5710859886922</v>
      </c>
      <c r="C402" s="8">
        <f>'Model inputs'!C60</f>
        <v>0</v>
      </c>
      <c r="D402" s="8">
        <f>IF('Model inputs'!D70="","",'Model inputs'!D70)</f>
        <v>51</v>
      </c>
      <c r="E402" s="8">
        <f>IF('Model inputs'!E70="","",'Model inputs'!E70)</f>
        <v>99.45000000000002</v>
      </c>
      <c r="F402" s="8">
        <f>IF('Model inputs'!F70="","",'Model inputs'!F70)</f>
        <v>145.59990000000002</v>
      </c>
      <c r="G402" s="8">
        <f>IF('Model inputs'!G70="","",'Model inputs'!G70)</f>
        <v>189.68098500000002</v>
      </c>
      <c r="H402" s="8">
        <f>IF('Model inputs'!H70="","",'Model inputs'!H70)</f>
        <v>231.90745551000003</v>
      </c>
      <c r="I402" s="8">
        <f>IF('Model inputs'!I70="","",'Model inputs'!I70)</f>
        <v>272.47783685850004</v>
      </c>
      <c r="J402" s="8">
        <f>IF('Model inputs'!J70="","",'Model inputs'!J70)</f>
        <v>311.57627703279906</v>
      </c>
      <c r="K402" s="8">
        <f>IF('Model inputs'!K70="","",'Model inputs'!K70)</f>
        <v>349.37374200684343</v>
      </c>
      <c r="L402" s="8">
        <f>IF('Model inputs'!L70="","",'Model inputs'!L70)</f>
        <v>386.0291167970644</v>
      </c>
      <c r="M402" s="8">
        <f>IF('Model inputs'!M70="","",'Model inputs'!M70)</f>
        <v>421.6902198285908</v>
      </c>
      <c r="N402" s="8">
        <f>IF('Model inputs'!N70="","",'Model inputs'!N70)</f>
        <v>456.4947375888537</v>
      </c>
    </row>
    <row r="403" outlineLevel="1">
      <c r="A403" t="inlineStr" s="27">
        <is>
          <t xml:space="preserve">Revenue &gt; Team</t>
        </is>
      </c>
      <c r="B403" s="8">
        <f>IF('Model inputs'!B71="","",'Model inputs'!B71)</f>
        <v>526.6424893702136</v>
      </c>
      <c r="C403" s="8">
        <f>'Model inputs'!C61</f>
        <v>0</v>
      </c>
      <c r="D403" s="8">
        <f>IF('Model inputs'!D71="","",'Model inputs'!D71)</f>
        <v>54.75</v>
      </c>
      <c r="E403" s="8">
        <f>IF('Model inputs'!E71="","",'Model inputs'!E71)</f>
        <v>106.7625</v>
      </c>
      <c r="F403" s="8">
        <f>IF('Model inputs'!F71="","",'Model inputs'!F71)</f>
        <v>156.305775</v>
      </c>
      <c r="G403" s="8">
        <f>IF('Model inputs'!G71="","",'Model inputs'!G71)</f>
        <v>203.62811625</v>
      </c>
      <c r="H403" s="8">
        <f>IF('Model inputs'!H71="","",'Model inputs'!H71)</f>
        <v>248.95947429750004</v>
      </c>
      <c r="I403" s="8">
        <f>IF('Model inputs'!I71="","",'Model inputs'!I71)</f>
        <v>292.512971921625</v>
      </c>
      <c r="J403" s="8">
        <f>IF('Model inputs'!J71="","",'Model inputs'!J71)</f>
        <v>334.48629740285776</v>
      </c>
      <c r="K403" s="8">
        <f>IF('Model inputs'!K71="","",'Model inputs'!K71)</f>
        <v>375.06298774264076</v>
      </c>
      <c r="L403" s="8">
        <f>IF('Model inputs'!L71="","",'Model inputs'!L71)</f>
        <v>414.4136106792015</v>
      </c>
      <c r="M403" s="8">
        <f>IF('Model inputs'!M71="","",'Model inputs'!M71)</f>
        <v>452.6968536395166</v>
      </c>
      <c r="N403" s="8">
        <f>IF('Model inputs'!N71="","",'Model inputs'!N71)</f>
        <v>490.0605271174459</v>
      </c>
    </row>
    <row r="404">
      <c r="A404" t="inlineStr" s="26">
        <is>
          <t xml:space="preserve">Subscription revenue</t>
        </is>
      </c>
      <c r="B404" s="16">
        <f>SUM('Model inputs'!B405,'Model inputs'!B406)</f>
        <v>0</v>
      </c>
      <c r="C404" s="16">
        <f>SUM('Model inputs'!C405,'Model inputs'!C406)</f>
        <v>0</v>
      </c>
      <c r="D404" s="16">
        <f>SUM('Model inputs'!D405,'Model inputs'!D406)</f>
        <v>0</v>
      </c>
      <c r="E404" s="16">
        <f>SUM('Model inputs'!E405,'Model inputs'!E406)</f>
        <v>0</v>
      </c>
      <c r="F404" s="16">
        <f>SUM('Model inputs'!F405,'Model inputs'!F406)</f>
        <v>0</v>
      </c>
      <c r="G404" s="16">
        <f>SUM('Model inputs'!G405,'Model inputs'!G406)</f>
        <v>0</v>
      </c>
      <c r="H404" s="16">
        <f>SUM('Model inputs'!H405,'Model inputs'!H406)</f>
        <v>0</v>
      </c>
      <c r="I404" s="16">
        <f>SUM('Model inputs'!I405,'Model inputs'!I406)</f>
        <v>0</v>
      </c>
      <c r="J404" s="16">
        <f>SUM('Model inputs'!J405,'Model inputs'!J406)</f>
        <v>0</v>
      </c>
      <c r="K404" s="16">
        <f>SUM('Model inputs'!K405,'Model inputs'!K406)</f>
        <v>0</v>
      </c>
      <c r="L404" s="16">
        <f>SUM('Model inputs'!L405,'Model inputs'!L406)</f>
        <v>0</v>
      </c>
      <c r="M404" s="16">
        <f>SUM('Model inputs'!M405,'Model inputs'!M406)</f>
        <v>0</v>
      </c>
      <c r="N404" s="16">
        <f>SUM('Model inputs'!N405,'Model inputs'!N406)</f>
        <v>0</v>
      </c>
    </row>
    <row r="405" outlineLevel="1">
      <c r="A405" t="inlineStr" s="27">
        <is>
          <t xml:space="preserve">Subscription revenue &gt; Starter</t>
        </is>
      </c>
      <c r="B405" s="8">
        <f>'Model inputs'!B212*'Model inputs'!O494</f>
        <v>0</v>
      </c>
      <c r="C405" s="8">
        <f>'Model inputs'!C114</f>
        <v>0</v>
      </c>
      <c r="D405" s="8">
        <f>'Model inputs'!D212*'Model inputs'!O494</f>
        <v>0</v>
      </c>
      <c r="E405" s="8">
        <f>'Model inputs'!E212*'Model inputs'!O494</f>
        <v>0</v>
      </c>
      <c r="F405" s="8">
        <f>'Model inputs'!F212*'Model inputs'!O494</f>
        <v>0</v>
      </c>
      <c r="G405" s="8">
        <f>'Model inputs'!G212*'Model inputs'!O494</f>
        <v>0</v>
      </c>
      <c r="H405" s="8">
        <f>'Model inputs'!H212*'Model inputs'!O494</f>
        <v>0</v>
      </c>
      <c r="I405" s="8">
        <f>'Model inputs'!I212*'Model inputs'!O494</f>
        <v>0</v>
      </c>
      <c r="J405" s="8">
        <f>'Model inputs'!J212*'Model inputs'!O494</f>
        <v>0</v>
      </c>
      <c r="K405" s="8">
        <f>'Model inputs'!K212*'Model inputs'!O494</f>
        <v>0</v>
      </c>
      <c r="L405" s="8">
        <f>'Model inputs'!L212*'Model inputs'!O494</f>
        <v>0</v>
      </c>
      <c r="M405" s="8">
        <f>'Model inputs'!M212*'Model inputs'!O494</f>
        <v>0</v>
      </c>
      <c r="N405" s="8">
        <f>'Model inputs'!N212*'Model inputs'!O494</f>
        <v>0</v>
      </c>
    </row>
    <row r="406" outlineLevel="1">
      <c r="A406" t="inlineStr" s="27">
        <is>
          <t xml:space="preserve">Subscription revenue &gt; Team</t>
        </is>
      </c>
      <c r="B406" s="8">
        <f>'Model inputs'!B213*'Model inputs'!O495</f>
        <v>0</v>
      </c>
      <c r="C406" s="8">
        <f>'Model inputs'!C115</f>
        <v>0</v>
      </c>
      <c r="D406" s="8">
        <f>'Model inputs'!D213*'Model inputs'!O495</f>
        <v>0</v>
      </c>
      <c r="E406" s="8">
        <f>'Model inputs'!E213*'Model inputs'!O495</f>
        <v>0</v>
      </c>
      <c r="F406" s="8">
        <f>'Model inputs'!F213*'Model inputs'!O495</f>
        <v>0</v>
      </c>
      <c r="G406" s="8">
        <f>'Model inputs'!G213*'Model inputs'!O495</f>
        <v>0</v>
      </c>
      <c r="H406" s="8">
        <f>'Model inputs'!H213*'Model inputs'!O495</f>
        <v>0</v>
      </c>
      <c r="I406" s="8">
        <f>'Model inputs'!I213*'Model inputs'!O495</f>
        <v>0</v>
      </c>
      <c r="J406" s="8">
        <f>'Model inputs'!J213*'Model inputs'!O495</f>
        <v>0</v>
      </c>
      <c r="K406" s="8">
        <f>'Model inputs'!K213*'Model inputs'!O495</f>
        <v>0</v>
      </c>
      <c r="L406" s="8">
        <f>'Model inputs'!L213*'Model inputs'!O495</f>
        <v>0</v>
      </c>
      <c r="M406" s="8">
        <f>'Model inputs'!M213*'Model inputs'!O495</f>
        <v>0</v>
      </c>
      <c r="N406" s="8">
        <f>'Model inputs'!N213*'Model inputs'!O495</f>
        <v>0</v>
      </c>
    </row>
    <row r="407">
      <c r="A407" t="inlineStr" s="26">
        <is>
          <t xml:space="preserve">Subscription revenue</t>
        </is>
      </c>
      <c r="B407" s="16">
        <f>IF('Model inputs'!B272="","",'Model inputs'!B272)</f>
        <v>15366.145556778292</v>
      </c>
      <c r="C407" s="16">
        <f>SUM('Model inputs'!C408,'Model inputs'!C409)</f>
        <v>0</v>
      </c>
      <c r="D407" s="16">
        <f>IF('Model inputs'!D272="","",'Model inputs'!D272)</f>
        <v>594</v>
      </c>
      <c r="E407" s="16">
        <f>IF('Model inputs'!E272="","",'Model inputs'!E272)</f>
        <v>1259.28</v>
      </c>
      <c r="F407" s="16">
        <f>IF('Model inputs'!F272="","",'Model inputs'!F272)</f>
        <v>2007.0665999999997</v>
      </c>
      <c r="G407" s="16">
        <f>IF('Model inputs'!G272="","",'Model inputs'!G272)</f>
        <v>2850.254352</v>
      </c>
      <c r="H407" s="16">
        <f>IF('Model inputs'!H272="","",'Model inputs'!H272)</f>
        <v>3803.6564339399993</v>
      </c>
      <c r="I407" s="16">
        <f>IF('Model inputs'!I272="","",'Model inputs'!I272)</f>
        <v>4884.292910296799</v>
      </c>
      <c r="J407" s="16">
        <f>IF('Model inputs'!J272="","",'Model inputs'!J272)</f>
        <v>6111.722217769145</v>
      </c>
      <c r="K407" s="16">
        <f>IF('Model inputs'!K272="","",'Model inputs'!K272)</f>
        <v>7508.422360234507</v>
      </c>
      <c r="L407" s="16">
        <f>IF('Model inputs'!L272="","",'Model inputs'!L272)</f>
        <v>9100.229269775675</v>
      </c>
      <c r="M407" s="16">
        <f>IF('Model inputs'!M272="","",'Model inputs'!M272)</f>
        <v>10916.840909082835</v>
      </c>
      <c r="N407" s="16">
        <f>IF('Model inputs'!N272="","",'Model inputs'!N272)</f>
        <v>12992.396976820846</v>
      </c>
    </row>
    <row r="408" outlineLevel="1">
      <c r="A408" t="inlineStr" s="27">
        <is>
          <t xml:space="preserve">Subscription revenue &gt; Starter</t>
        </is>
      </c>
      <c r="B408" s="8">
        <f>IF('Model inputs'!B273="","",'Model inputs'!B273)</f>
        <v>5070.310655098561</v>
      </c>
      <c r="C408" s="8">
        <f>'Model inputs'!C114</f>
        <v>0</v>
      </c>
      <c r="D408" s="8">
        <f>IF('Model inputs'!D273="","",'Model inputs'!D273)</f>
        <v>196</v>
      </c>
      <c r="E408" s="8">
        <f>IF('Model inputs'!E273="","",'Model inputs'!E273)</f>
        <v>415.52000000000004</v>
      </c>
      <c r="F408" s="8">
        <f>IF('Model inputs'!F273="","",'Model inputs'!F273)</f>
        <v>662.2643999999999</v>
      </c>
      <c r="G408" s="8">
        <f>IF('Model inputs'!G273="","",'Model inputs'!G273)</f>
        <v>940.4879679999999</v>
      </c>
      <c r="H408" s="8">
        <f>IF('Model inputs'!H273="","",'Model inputs'!H273)</f>
        <v>1255.07855396</v>
      </c>
      <c r="I408" s="8">
        <f>IF('Model inputs'!I273="","",'Model inputs'!I273)</f>
        <v>1611.6522060911998</v>
      </c>
      <c r="J408" s="8">
        <f>IF('Model inputs'!J273="","",'Model inputs'!J273)</f>
        <v>2016.6625499709635</v>
      </c>
      <c r="K408" s="8">
        <f>IF('Model inputs'!K273="","",'Model inputs'!K273)</f>
        <v>2477.5265700437094</v>
      </c>
      <c r="L408" s="8">
        <f>IF('Model inputs'!L273="","",'Model inputs'!L273)</f>
        <v>3002.769254000054</v>
      </c>
      <c r="M408" s="8">
        <f>IF('Model inputs'!M273="","",'Model inputs'!M273)</f>
        <v>3602.1899295963567</v>
      </c>
      <c r="N408" s="8">
        <f>IF('Model inputs'!N273="","",'Model inputs'!N273)</f>
        <v>4287.053547907215</v>
      </c>
    </row>
    <row r="409" outlineLevel="1">
      <c r="A409" t="inlineStr" s="27">
        <is>
          <t xml:space="preserve">Subscription revenue &gt; Team</t>
        </is>
      </c>
      <c r="B409" s="8">
        <f>IF('Model inputs'!B274="","",'Model inputs'!B274)</f>
        <v>10295.834901679731</v>
      </c>
      <c r="C409" s="8">
        <f>'Model inputs'!C115</f>
        <v>0</v>
      </c>
      <c r="D409" s="8">
        <f>IF('Model inputs'!D274="","",'Model inputs'!D274)</f>
        <v>398</v>
      </c>
      <c r="E409" s="8">
        <f>IF('Model inputs'!E274="","",'Model inputs'!E274)</f>
        <v>843.76</v>
      </c>
      <c r="F409" s="8">
        <f>IF('Model inputs'!F274="","",'Model inputs'!F274)</f>
        <v>1344.8021999999999</v>
      </c>
      <c r="G409" s="8">
        <f>IF('Model inputs'!G274="","",'Model inputs'!G274)</f>
        <v>1909.7663839999998</v>
      </c>
      <c r="H409" s="8">
        <f>IF('Model inputs'!H274="","",'Model inputs'!H274)</f>
        <v>2548.5778799799996</v>
      </c>
      <c r="I409" s="8">
        <f>IF('Model inputs'!I274="","",'Model inputs'!I274)</f>
        <v>3272.6407042055994</v>
      </c>
      <c r="J409" s="8">
        <f>IF('Model inputs'!J274="","",'Model inputs'!J274)</f>
        <v>4095.059667798181</v>
      </c>
      <c r="K409" s="8">
        <f>IF('Model inputs'!K274="","",'Model inputs'!K274)</f>
        <v>5030.895790190798</v>
      </c>
      <c r="L409" s="8">
        <f>IF('Model inputs'!L274="","",'Model inputs'!L274)</f>
        <v>6097.46001577562</v>
      </c>
      <c r="M409" s="8">
        <f>IF('Model inputs'!M274="","",'Model inputs'!M274)</f>
        <v>7314.65097948648</v>
      </c>
      <c r="N409" s="8">
        <f>IF('Model inputs'!N274="","",'Model inputs'!N274)</f>
        <v>8705.343428913631</v>
      </c>
    </row>
    <row r="410">
      <c r="A410" t="inlineStr" s="26">
        <is>
          <t xml:space="preserve">Subscription revenue</t>
        </is>
      </c>
      <c r="B410" s="16">
        <f>SUM('Model inputs'!B411,'Model inputs'!B412)</f>
        <v>5144.175212335564</v>
      </c>
      <c r="C410" s="16">
        <f>SUM('Model inputs'!C411,'Model inputs'!C412)</f>
        <v>0</v>
      </c>
      <c r="D410" s="16">
        <f>SUM('Model inputs'!D411,'Model inputs'!D412)</f>
        <v>297</v>
      </c>
      <c r="E410" s="16">
        <f>SUM('Model inputs'!E411,'Model inputs'!E412)</f>
        <v>608.8500000000001</v>
      </c>
      <c r="F410" s="16">
        <f>SUM('Model inputs'!F411,'Model inputs'!F412)</f>
        <v>937.7775000000001</v>
      </c>
      <c r="G410" s="16">
        <f>SUM('Model inputs'!G411,'Model inputs'!G412)</f>
        <v>1286.1956250000003</v>
      </c>
      <c r="H410" s="16">
        <f>SUM('Model inputs'!H411,'Model inputs'!H412)</f>
        <v>1656.7235437500003</v>
      </c>
      <c r="I410" s="16">
        <f>SUM('Model inputs'!I411,'Model inputs'!I412)</f>
        <v>2052.208836562501</v>
      </c>
      <c r="J410" s="16">
        <f>SUM('Model inputs'!J411,'Model inputs'!J412)</f>
        <v>2475.7520117343756</v>
      </c>
      <c r="K410" s="16">
        <f>SUM('Model inputs'!K411,'Model inputs'!K412)</f>
        <v>2930.7333898476577</v>
      </c>
      <c r="L410" s="16">
        <f>SUM('Model inputs'!L411,'Model inputs'!L412)</f>
        <v>3420.842596925275</v>
      </c>
      <c r="M410" s="16">
        <f>SUM('Model inputs'!M411,'Model inputs'!M412)</f>
        <v>3950.1109313060124</v>
      </c>
      <c r="N410" s="16">
        <f>SUM('Model inputs'!N411,'Model inputs'!N412)</f>
        <v>4522.9468953904125</v>
      </c>
    </row>
    <row r="411" outlineLevel="1">
      <c r="A411" t="inlineStr" s="27">
        <is>
          <t xml:space="preserve">Subscription revenue &gt; Starter</t>
        </is>
      </c>
      <c r="B411" s="8">
        <f>'Model inputs'!B218*'Model inputs'!O497</f>
        <v>1697.404615518132</v>
      </c>
      <c r="C411" s="8">
        <f>'Model inputs'!C114</f>
        <v>0</v>
      </c>
      <c r="D411" s="8">
        <f>'Model inputs'!D218*'Model inputs'!O497</f>
        <v>98</v>
      </c>
      <c r="E411" s="8">
        <f>'Model inputs'!E218*'Model inputs'!O497</f>
        <v>200.90000000000003</v>
      </c>
      <c r="F411" s="8">
        <f>'Model inputs'!F218*'Model inputs'!O497</f>
        <v>309.43500000000006</v>
      </c>
      <c r="G411" s="8">
        <f>'Model inputs'!G218*'Model inputs'!O497</f>
        <v>424.4012500000001</v>
      </c>
      <c r="H411" s="8">
        <f>'Model inputs'!H218*'Model inputs'!O497</f>
        <v>546.6629875000001</v>
      </c>
      <c r="I411" s="8">
        <f>'Model inputs'!I218*'Model inputs'!O497</f>
        <v>677.1598181250002</v>
      </c>
      <c r="J411" s="8">
        <f>'Model inputs'!J218*'Model inputs'!O497</f>
        <v>816.9148052187503</v>
      </c>
      <c r="K411" s="8">
        <f>'Model inputs'!K218*'Model inputs'!O497</f>
        <v>967.043340757813</v>
      </c>
      <c r="L411" s="8">
        <f>'Model inputs'!L218*'Model inputs'!O497</f>
        <v>1128.7628770999224</v>
      </c>
      <c r="M411" s="8">
        <f>'Model inputs'!M218*'Model inputs'!O497</f>
        <v>1303.4036069629267</v>
      </c>
      <c r="N411" s="8">
        <f>'Model inputs'!N218*'Model inputs'!O497</f>
        <v>1492.4201877045807</v>
      </c>
    </row>
    <row r="412" outlineLevel="1">
      <c r="A412" t="inlineStr" s="27">
        <is>
          <t xml:space="preserve">Subscription revenue &gt; Team</t>
        </is>
      </c>
      <c r="B412" s="8">
        <f>'Model inputs'!B219*'Model inputs'!O498</f>
        <v>3446.7705968174314</v>
      </c>
      <c r="C412" s="8">
        <f>'Model inputs'!C115</f>
        <v>0</v>
      </c>
      <c r="D412" s="8">
        <f>'Model inputs'!D219*'Model inputs'!O498</f>
        <v>199</v>
      </c>
      <c r="E412" s="8">
        <f>'Model inputs'!E219*'Model inputs'!O498</f>
        <v>407.95000000000005</v>
      </c>
      <c r="F412" s="8">
        <f>'Model inputs'!F219*'Model inputs'!O498</f>
        <v>628.3425000000001</v>
      </c>
      <c r="G412" s="8">
        <f>'Model inputs'!G219*'Model inputs'!O498</f>
        <v>861.7943750000003</v>
      </c>
      <c r="H412" s="8">
        <f>'Model inputs'!H219*'Model inputs'!O498</f>
        <v>1110.0605562500002</v>
      </c>
      <c r="I412" s="8">
        <f>'Model inputs'!I219*'Model inputs'!O498</f>
        <v>1375.0490184375005</v>
      </c>
      <c r="J412" s="8">
        <f>'Model inputs'!J219*'Model inputs'!O498</f>
        <v>1658.8372065156254</v>
      </c>
      <c r="K412" s="8">
        <f>'Model inputs'!K219*'Model inputs'!O498</f>
        <v>1963.6900490898447</v>
      </c>
      <c r="L412" s="8">
        <f>'Model inputs'!L219*'Model inputs'!O498</f>
        <v>2292.0797198253526</v>
      </c>
      <c r="M412" s="8">
        <f>'Model inputs'!M219*'Model inputs'!O498</f>
        <v>2646.7073243430855</v>
      </c>
      <c r="N412" s="8">
        <f>'Model inputs'!N219*'Model inputs'!O498</f>
        <v>3030.526707685832</v>
      </c>
    </row>
    <row r="413">
      <c r="A413" t="inlineStr" s="26">
        <is>
          <t xml:space="preserve">Subscription revenue</t>
        </is>
      </c>
      <c r="B413" s="16">
        <f>IF('Model inputs'!B275="","",'Model inputs'!B275)</f>
        <v>949.8802890467324</v>
      </c>
      <c r="C413" s="16">
        <f>SUM('Model inputs'!C414,'Model inputs'!C415)</f>
        <v>0</v>
      </c>
      <c r="D413" s="16">
        <f>IF('Model inputs'!D275="","",'Model inputs'!D275)</f>
        <v>98.75</v>
      </c>
      <c r="E413" s="16">
        <f>IF('Model inputs'!E275="","",'Model inputs'!E275)</f>
        <v>192.5625</v>
      </c>
      <c r="F413" s="16">
        <f>IF('Model inputs'!F275="","",'Model inputs'!F275)</f>
        <v>281.921375</v>
      </c>
      <c r="G413" s="16">
        <f>IF('Model inputs'!G275="","",'Model inputs'!G275)</f>
        <v>367.27445625000007</v>
      </c>
      <c r="H413" s="16">
        <f>IF('Model inputs'!H275="","",'Model inputs'!H275)</f>
        <v>449.0364947375001</v>
      </c>
      <c r="I413" s="16">
        <f>IF('Model inputs'!I275="","",'Model inputs'!I275)</f>
        <v>527.591889995625</v>
      </c>
      <c r="J413" s="16">
        <f>IF('Model inputs'!J275="","",'Model inputs'!J275)</f>
        <v>603.2972030782138</v>
      </c>
      <c r="K413" s="16">
        <f>IF('Model inputs'!K275="","",'Model inputs'!K275)</f>
        <v>676.4834710426626</v>
      </c>
      <c r="L413" s="16">
        <f>IF('Model inputs'!L275="","",'Model inputs'!L275)</f>
        <v>747.4583388962767</v>
      </c>
      <c r="M413" s="16">
        <f>IF('Model inputs'!M275="","",'Model inputs'!M275)</f>
        <v>816.5080236877125</v>
      </c>
      <c r="N413" s="16">
        <f>IF('Model inputs'!N275="","",'Model inputs'!N275)</f>
        <v>883.8991242529275</v>
      </c>
    </row>
    <row r="414" outlineLevel="1">
      <c r="A414" t="inlineStr" s="27">
        <is>
          <t xml:space="preserve">Subscription revenue &gt; Starter</t>
        </is>
      </c>
      <c r="B414" s="8">
        <f>IF('Model inputs'!B276="","",'Model inputs'!B276)</f>
        <v>471.33300418521407</v>
      </c>
      <c r="C414" s="8">
        <f>'Model inputs'!C114</f>
        <v>0</v>
      </c>
      <c r="D414" s="8">
        <f>IF('Model inputs'!D276="","",'Model inputs'!D276)</f>
        <v>49</v>
      </c>
      <c r="E414" s="8">
        <f>IF('Model inputs'!E276="","",'Model inputs'!E276)</f>
        <v>95.55000000000001</v>
      </c>
      <c r="F414" s="8">
        <f>IF('Model inputs'!F276="","",'Model inputs'!F276)</f>
        <v>139.89010000000002</v>
      </c>
      <c r="G414" s="8">
        <f>IF('Model inputs'!G276="","",'Model inputs'!G276)</f>
        <v>182.24251500000003</v>
      </c>
      <c r="H414" s="8">
        <f>IF('Model inputs'!H276="","",'Model inputs'!H276)</f>
        <v>222.81304549000004</v>
      </c>
      <c r="I414" s="8">
        <f>IF('Model inputs'!I276="","",'Model inputs'!I276)</f>
        <v>261.79243149150005</v>
      </c>
      <c r="J414" s="8">
        <f>IF('Model inputs'!J276="","",'Model inputs'!J276)</f>
        <v>299.35759950210104</v>
      </c>
      <c r="K414" s="8">
        <f>IF('Model inputs'!K276="","",'Model inputs'!K276)</f>
        <v>335.67281094775154</v>
      </c>
      <c r="L414" s="8">
        <f>IF('Model inputs'!L276="","",'Model inputs'!L276)</f>
        <v>370.8907200599246</v>
      </c>
      <c r="M414" s="8">
        <f>IF('Model inputs'!M276="","",'Model inputs'!M276)</f>
        <v>405.1533484627637</v>
      </c>
      <c r="N414" s="8">
        <f>IF('Model inputs'!N276="","",'Model inputs'!N276)</f>
        <v>438.5929831736045</v>
      </c>
    </row>
    <row r="415" outlineLevel="1">
      <c r="A415" t="inlineStr" s="27">
        <is>
          <t xml:space="preserve">Subscription revenue &gt; Team</t>
        </is>
      </c>
      <c r="B415" s="8">
        <f>IF('Model inputs'!B277="","",'Model inputs'!B277)</f>
        <v>478.54728486151834</v>
      </c>
      <c r="C415" s="8">
        <f>'Model inputs'!C115</f>
        <v>0</v>
      </c>
      <c r="D415" s="8">
        <f>IF('Model inputs'!D277="","",'Model inputs'!D277)</f>
        <v>49.75</v>
      </c>
      <c r="E415" s="8">
        <f>IF('Model inputs'!E277="","",'Model inputs'!E277)</f>
        <v>97.0125</v>
      </c>
      <c r="F415" s="8">
        <f>IF('Model inputs'!F277="","",'Model inputs'!F277)</f>
        <v>142.03127500000002</v>
      </c>
      <c r="G415" s="8">
        <f>IF('Model inputs'!G277="","",'Model inputs'!G277)</f>
        <v>185.03194125000002</v>
      </c>
      <c r="H415" s="8">
        <f>IF('Model inputs'!H277="","",'Model inputs'!H277)</f>
        <v>226.22344924750004</v>
      </c>
      <c r="I415" s="8">
        <f>IF('Model inputs'!I277="","",'Model inputs'!I277)</f>
        <v>265.799458504125</v>
      </c>
      <c r="J415" s="8">
        <f>IF('Model inputs'!J277="","",'Model inputs'!J277)</f>
        <v>303.93960357611275</v>
      </c>
      <c r="K415" s="8">
        <f>IF('Model inputs'!K277="","",'Model inputs'!K277)</f>
        <v>340.810660094911</v>
      </c>
      <c r="L415" s="8">
        <f>IF('Model inputs'!L277="","",'Model inputs'!L277)</f>
        <v>376.56761883635204</v>
      </c>
      <c r="M415" s="8">
        <f>IF('Model inputs'!M277="","",'Model inputs'!M277)</f>
        <v>411.35467522494883</v>
      </c>
      <c r="N415" s="8">
        <f>IF('Model inputs'!N277="","",'Model inputs'!N277)</f>
        <v>445.30614107932297</v>
      </c>
    </row>
    <row r="416">
      <c r="A416" t="inlineStr" s="26">
        <is>
          <t xml:space="preserve">Variable cost of revenue</t>
        </is>
      </c>
      <c r="B416" s="16">
        <f>IF('Model inputs'!B278="","",'Model inputs'!B278)</f>
        <v>0</v>
      </c>
      <c r="C416" s="16">
        <f>IF('Model inputs'!C278="","",'Model inputs'!C278)</f>
        <v>0</v>
      </c>
      <c r="D416" s="16">
        <f>IF('Model inputs'!D278="","",'Model inputs'!D278)</f>
        <v>0</v>
      </c>
      <c r="E416" s="16">
        <f>IF('Model inputs'!E278="","",'Model inputs'!E278)</f>
        <v>0</v>
      </c>
      <c r="F416" s="16">
        <f>IF('Model inputs'!F278="","",'Model inputs'!F278)</f>
        <v>0</v>
      </c>
      <c r="G416" s="16">
        <f>IF('Model inputs'!G278="","",'Model inputs'!G278)</f>
        <v>0</v>
      </c>
      <c r="H416" s="16">
        <f>IF('Model inputs'!H278="","",'Model inputs'!H278)</f>
        <v>0</v>
      </c>
      <c r="I416" s="16">
        <f>IF('Model inputs'!I278="","",'Model inputs'!I278)</f>
        <v>0</v>
      </c>
      <c r="J416" s="16">
        <f>IF('Model inputs'!J278="","",'Model inputs'!J278)</f>
        <v>0</v>
      </c>
      <c r="K416" s="16">
        <f>IF('Model inputs'!K278="","",'Model inputs'!K278)</f>
        <v>0</v>
      </c>
      <c r="L416" s="16">
        <f>IF('Model inputs'!L278="","",'Model inputs'!L278)</f>
        <v>0</v>
      </c>
      <c r="M416" s="16">
        <f>IF('Model inputs'!M278="","",'Model inputs'!M278)</f>
        <v>0</v>
      </c>
      <c r="N416" s="16">
        <f>IF('Model inputs'!N278="","",'Model inputs'!N278)</f>
        <v>0</v>
      </c>
    </row>
    <row r="417" outlineLevel="1">
      <c r="A417" t="inlineStr" s="27">
        <is>
          <t xml:space="preserve">Variable cost of revenue &gt; Starter</t>
        </is>
      </c>
      <c r="B417" s="8">
        <f>'Model inputs'!B474+'Model inputs'!B520+'Model inputs'!B532+'Model inputs'!B544+'Model inputs'!B508</f>
        <v>0</v>
      </c>
      <c r="C417" s="8">
        <f>'Model inputs'!C117</f>
        <v>0</v>
      </c>
      <c r="D417" s="8">
        <f>'Model inputs'!D474+'Model inputs'!D520+'Model inputs'!D532+'Model inputs'!D544+'Model inputs'!D508</f>
        <v>0</v>
      </c>
      <c r="E417" s="8">
        <f>'Model inputs'!E474+'Model inputs'!E520+'Model inputs'!E532+'Model inputs'!E544+'Model inputs'!E508</f>
        <v>0</v>
      </c>
      <c r="F417" s="8">
        <f>'Model inputs'!F474+'Model inputs'!F520+'Model inputs'!F532+'Model inputs'!F544+'Model inputs'!F508</f>
        <v>0</v>
      </c>
      <c r="G417" s="8">
        <f>'Model inputs'!G474+'Model inputs'!G520+'Model inputs'!G532+'Model inputs'!G544+'Model inputs'!G508</f>
        <v>0</v>
      </c>
      <c r="H417" s="8">
        <f>'Model inputs'!H474+'Model inputs'!H520+'Model inputs'!H532+'Model inputs'!H544+'Model inputs'!H508</f>
        <v>0</v>
      </c>
      <c r="I417" s="8">
        <f>'Model inputs'!I474+'Model inputs'!I520+'Model inputs'!I532+'Model inputs'!I544+'Model inputs'!I508</f>
        <v>0</v>
      </c>
      <c r="J417" s="8">
        <f>'Model inputs'!J474+'Model inputs'!J520+'Model inputs'!J532+'Model inputs'!J544+'Model inputs'!J508</f>
        <v>0</v>
      </c>
      <c r="K417" s="8">
        <f>'Model inputs'!K474+'Model inputs'!K520+'Model inputs'!K532+'Model inputs'!K544+'Model inputs'!K508</f>
        <v>0</v>
      </c>
      <c r="L417" s="8">
        <f>'Model inputs'!L474+'Model inputs'!L520+'Model inputs'!L532+'Model inputs'!L544+'Model inputs'!L508</f>
        <v>0</v>
      </c>
      <c r="M417" s="8">
        <f>'Model inputs'!M474+'Model inputs'!M520+'Model inputs'!M532+'Model inputs'!M544+'Model inputs'!M508</f>
        <v>0</v>
      </c>
      <c r="N417" s="8">
        <f>'Model inputs'!N474+'Model inputs'!N520+'Model inputs'!N532+'Model inputs'!N544+'Model inputs'!N508</f>
        <v>0</v>
      </c>
    </row>
    <row r="418" outlineLevel="1">
      <c r="A418" t="inlineStr" s="27">
        <is>
          <t xml:space="preserve">Variable cost of revenue &gt; Team</t>
        </is>
      </c>
      <c r="B418" s="8">
        <f>'Model inputs'!B475+'Model inputs'!B521+'Model inputs'!B533+'Model inputs'!B545+'Model inputs'!B509</f>
        <v>0</v>
      </c>
      <c r="C418" s="8">
        <f>'Model inputs'!C118</f>
        <v>0</v>
      </c>
      <c r="D418" s="8">
        <f>'Model inputs'!D475+'Model inputs'!D521+'Model inputs'!D533+'Model inputs'!D545+'Model inputs'!D509</f>
        <v>0</v>
      </c>
      <c r="E418" s="8">
        <f>'Model inputs'!E475+'Model inputs'!E521+'Model inputs'!E533+'Model inputs'!E545+'Model inputs'!E509</f>
        <v>0</v>
      </c>
      <c r="F418" s="8">
        <f>'Model inputs'!F475+'Model inputs'!F521+'Model inputs'!F533+'Model inputs'!F545+'Model inputs'!F509</f>
        <v>0</v>
      </c>
      <c r="G418" s="8">
        <f>'Model inputs'!G475+'Model inputs'!G521+'Model inputs'!G533+'Model inputs'!G545+'Model inputs'!G509</f>
        <v>0</v>
      </c>
      <c r="H418" s="8">
        <f>'Model inputs'!H475+'Model inputs'!H521+'Model inputs'!H533+'Model inputs'!H545+'Model inputs'!H509</f>
        <v>0</v>
      </c>
      <c r="I418" s="8">
        <f>'Model inputs'!I475+'Model inputs'!I521+'Model inputs'!I533+'Model inputs'!I545+'Model inputs'!I509</f>
        <v>0</v>
      </c>
      <c r="J418" s="8">
        <f>'Model inputs'!J475+'Model inputs'!J521+'Model inputs'!J533+'Model inputs'!J545+'Model inputs'!J509</f>
        <v>0</v>
      </c>
      <c r="K418" s="8">
        <f>'Model inputs'!K475+'Model inputs'!K521+'Model inputs'!K533+'Model inputs'!K545+'Model inputs'!K509</f>
        <v>0</v>
      </c>
      <c r="L418" s="8">
        <f>'Model inputs'!L475+'Model inputs'!L521+'Model inputs'!L533+'Model inputs'!L545+'Model inputs'!L509</f>
        <v>0</v>
      </c>
      <c r="M418" s="8">
        <f>'Model inputs'!M475+'Model inputs'!M521+'Model inputs'!M533+'Model inputs'!M545+'Model inputs'!M509</f>
        <v>0</v>
      </c>
      <c r="N418" s="8">
        <f>'Model inputs'!N475+'Model inputs'!N521+'Model inputs'!N533+'Model inputs'!N545+'Model inputs'!N509</f>
        <v>0</v>
      </c>
    </row>
    <row r="419">
      <c r="A419" t="inlineStr" s="26">
        <is>
          <t xml:space="preserve">Variable cost of revenue</t>
        </is>
      </c>
      <c r="B419" s="16">
        <f>IF('Model inputs'!B279="","",'Model inputs'!B279)</f>
        <v>5092.557936544402</v>
      </c>
      <c r="C419" s="16">
        <f>SUM('Model inputs'!C420,'Model inputs'!C421)</f>
        <v>0</v>
      </c>
      <c r="D419" s="16">
        <f>IF('Model inputs'!D279="","",'Model inputs'!D279)</f>
        <v>196.85999999999999</v>
      </c>
      <c r="E419" s="16">
        <f>IF('Model inputs'!E279="","",'Model inputs'!E279)</f>
        <v>417.3432</v>
      </c>
      <c r="F419" s="16">
        <f>IF('Model inputs'!F279="","",'Model inputs'!F279)</f>
        <v>665.1702539999999</v>
      </c>
      <c r="G419" s="16">
        <f>IF('Model inputs'!G279="","",'Model inputs'!G279)</f>
        <v>944.6145988799999</v>
      </c>
      <c r="H419" s="16">
        <f>IF('Model inputs'!H279="","",'Model inputs'!H279)</f>
        <v>1260.5855312886</v>
      </c>
      <c r="I419" s="16">
        <f>IF('Model inputs'!I279="","",'Model inputs'!I279)</f>
        <v>1618.723741281192</v>
      </c>
      <c r="J419" s="16">
        <f>IF('Model inputs'!J279="","",'Model inputs'!J279)</f>
        <v>2025.5111713636934</v>
      </c>
      <c r="K419" s="16">
        <f>IF('Model inputs'!K279="","",'Model inputs'!K279)</f>
        <v>2488.3973498918604</v>
      </c>
      <c r="L419" s="16">
        <f>IF('Model inputs'!L279="","",'Model inputs'!L279)</f>
        <v>3015.9446701145444</v>
      </c>
      <c r="M419" s="16">
        <f>IF('Model inputs'!M279="","",'Model inputs'!M279)</f>
        <v>3617.9954568384637</v>
      </c>
      <c r="N419" s="16">
        <f>IF('Model inputs'!N279="","",'Model inputs'!N279)</f>
        <v>4305.864088984768</v>
      </c>
    </row>
    <row r="420" outlineLevel="1">
      <c r="A420" t="inlineStr" s="27">
        <is>
          <t xml:space="preserve">Variable cost of revenue &gt; Starter</t>
        </is>
      </c>
      <c r="B420" s="8">
        <f>'Model inputs'!B477+'Model inputs'!B523+'Model inputs'!B535+'Model inputs'!B547+'Model inputs'!B511</f>
        <v>1234.465430925017</v>
      </c>
      <c r="C420" s="8">
        <f>'Model inputs'!C117</f>
        <v>0</v>
      </c>
      <c r="D420" s="8">
        <f>'Model inputs'!D477+'Model inputs'!D523+'Model inputs'!D535+'Model inputs'!D547+'Model inputs'!D511</f>
        <v>47.72</v>
      </c>
      <c r="E420" s="8">
        <f>'Model inputs'!E477+'Model inputs'!E523+'Model inputs'!E535+'Model inputs'!E547+'Model inputs'!E511</f>
        <v>101.16640000000001</v>
      </c>
      <c r="F420" s="8">
        <f>'Model inputs'!F477+'Model inputs'!F523+'Model inputs'!F535+'Model inputs'!F547+'Model inputs'!F511</f>
        <v>161.241108</v>
      </c>
      <c r="G420" s="8">
        <f>'Model inputs'!G477+'Model inputs'!G523+'Model inputs'!G535+'Model inputs'!G547+'Model inputs'!G511</f>
        <v>228.98002975999998</v>
      </c>
      <c r="H420" s="8">
        <f>'Model inputs'!H477+'Model inputs'!H523+'Model inputs'!H535+'Model inputs'!H547+'Model inputs'!H511</f>
        <v>305.57320711719996</v>
      </c>
      <c r="I420" s="8">
        <f>'Model inputs'!I477+'Model inputs'!I523+'Model inputs'!I535+'Model inputs'!I547+'Model inputs'!I511</f>
        <v>392.38797589118394</v>
      </c>
      <c r="J420" s="8">
        <f>'Model inputs'!J477+'Model inputs'!J523+'Model inputs'!J535+'Model inputs'!J547+'Model inputs'!J511</f>
        <v>490.9955963500734</v>
      </c>
      <c r="K420" s="8">
        <f>'Model inputs'!K477+'Model inputs'!K523+'Model inputs'!K535+'Model inputs'!K547+'Model inputs'!K511</f>
        <v>603.2018771555399</v>
      </c>
      <c r="L420" s="8">
        <f>'Model inputs'!L477+'Model inputs'!L523+'Model inputs'!L535+'Model inputs'!L547+'Model inputs'!L511</f>
        <v>731.0823918412377</v>
      </c>
      <c r="M420" s="8">
        <f>'Model inputs'!M477+'Model inputs'!M523+'Model inputs'!M535+'Model inputs'!M547+'Model inputs'!M511</f>
        <v>877.0229767364192</v>
      </c>
      <c r="N420" s="8">
        <f>'Model inputs'!N477+'Model inputs'!N523+'Model inputs'!N535+'Model inputs'!N547+'Model inputs'!N511</f>
        <v>1043.7663025823076</v>
      </c>
    </row>
    <row r="421" outlineLevel="1">
      <c r="A421" t="inlineStr" s="27">
        <is>
          <t xml:space="preserve">Variable cost of revenue &gt; Team</t>
        </is>
      </c>
      <c r="B421" s="8">
        <f>'Model inputs'!B478+'Model inputs'!B524+'Model inputs'!B536+'Model inputs'!B548+'Model inputs'!B512</f>
        <v>3858.0925056193846</v>
      </c>
      <c r="C421" s="8">
        <f>'Model inputs'!C118</f>
        <v>0</v>
      </c>
      <c r="D421" s="8">
        <f>'Model inputs'!D478+'Model inputs'!D524+'Model inputs'!D536+'Model inputs'!D548+'Model inputs'!D512</f>
        <v>149.14</v>
      </c>
      <c r="E421" s="8">
        <f>'Model inputs'!E478+'Model inputs'!E524+'Model inputs'!E536+'Model inputs'!E548+'Model inputs'!E512</f>
        <v>316.1768</v>
      </c>
      <c r="F421" s="8">
        <f>'Model inputs'!F478+'Model inputs'!F524+'Model inputs'!F536+'Model inputs'!F548+'Model inputs'!F512</f>
        <v>503.92914599999995</v>
      </c>
      <c r="G421" s="8">
        <f>'Model inputs'!G478+'Model inputs'!G524+'Model inputs'!G536+'Model inputs'!G548+'Model inputs'!G512</f>
        <v>715.6345691199999</v>
      </c>
      <c r="H421" s="8">
        <f>'Model inputs'!H478+'Model inputs'!H524+'Model inputs'!H536+'Model inputs'!H548+'Model inputs'!H512</f>
        <v>955.0123241713999</v>
      </c>
      <c r="I421" s="8">
        <f>'Model inputs'!I478+'Model inputs'!I524+'Model inputs'!I536+'Model inputs'!I548+'Model inputs'!I512</f>
        <v>1226.335765390008</v>
      </c>
      <c r="J421" s="8">
        <f>'Model inputs'!J478+'Model inputs'!J524+'Model inputs'!J536+'Model inputs'!J548+'Model inputs'!J512</f>
        <v>1534.51557501362</v>
      </c>
      <c r="K421" s="8">
        <f>'Model inputs'!K478+'Model inputs'!K524+'Model inputs'!K536+'Model inputs'!K548+'Model inputs'!K512</f>
        <v>1885.1954727363204</v>
      </c>
      <c r="L421" s="8">
        <f>'Model inputs'!L478+'Model inputs'!L524+'Model inputs'!L536+'Model inputs'!L548+'Model inputs'!L512</f>
        <v>2284.8622782733064</v>
      </c>
      <c r="M421" s="8">
        <f>'Model inputs'!M478+'Model inputs'!M524+'Model inputs'!M536+'Model inputs'!M548+'Model inputs'!M512</f>
        <v>2740.9724801020443</v>
      </c>
      <c r="N421" s="8">
        <f>'Model inputs'!N478+'Model inputs'!N524+'Model inputs'!N536+'Model inputs'!N548+'Model inputs'!N512</f>
        <v>3262.0977864024603</v>
      </c>
    </row>
    <row r="422">
      <c r="A422" t="inlineStr" s="26">
        <is>
          <t xml:space="preserve">Variable cost of revenue</t>
        </is>
      </c>
      <c r="B422" s="16">
        <f>IF('Model inputs'!B280="","",'Model inputs'!B280)</f>
        <v>1704.8524112800994</v>
      </c>
      <c r="C422" s="16">
        <f>IF('Model inputs'!C280="","",'Model inputs'!C280)</f>
        <v>0</v>
      </c>
      <c r="D422" s="16">
        <f>IF('Model inputs'!D280="","",'Model inputs'!D280)</f>
        <v>98.42999999999999</v>
      </c>
      <c r="E422" s="16">
        <f>IF('Model inputs'!E280="","",'Model inputs'!E280)</f>
        <v>201.78150000000005</v>
      </c>
      <c r="F422" s="16">
        <f>IF('Model inputs'!F280="","",'Model inputs'!F280)</f>
        <v>310.7927250000001</v>
      </c>
      <c r="G422" s="16">
        <f>IF('Model inputs'!G280="","",'Model inputs'!G280)</f>
        <v>426.26341875000014</v>
      </c>
      <c r="H422" s="16">
        <f>IF('Model inputs'!H280="","",'Model inputs'!H280)</f>
        <v>549.0616108125001</v>
      </c>
      <c r="I422" s="16">
        <f>IF('Model inputs'!I280="","",'Model inputs'!I280)</f>
        <v>680.1310295718752</v>
      </c>
      <c r="J422" s="16">
        <f>IF('Model inputs'!J280="","",'Model inputs'!J280)</f>
        <v>820.4992273232815</v>
      </c>
      <c r="K422" s="16">
        <f>IF('Model inputs'!K280="","",'Model inputs'!K280)</f>
        <v>971.2864901101176</v>
      </c>
      <c r="L422" s="16">
        <f>IF('Model inputs'!L280="","",'Model inputs'!L280)</f>
        <v>1133.715612172912</v>
      </c>
      <c r="M422" s="16">
        <f>IF('Model inputs'!M280="","",'Model inputs'!M280)</f>
        <v>1309.1226227893965</v>
      </c>
      <c r="N422" s="16">
        <f>IF('Model inputs'!N280="","",'Model inputs'!N280)</f>
        <v>1498.9685619975703</v>
      </c>
    </row>
    <row r="423" outlineLevel="1">
      <c r="A423" t="inlineStr" s="27">
        <is>
          <t xml:space="preserve">Variable cost of revenue &gt; Starter</t>
        </is>
      </c>
      <c r="B423" s="8">
        <f>'Model inputs'!B480+'Model inputs'!B526+'Model inputs'!B538+'Model inputs'!B550+'Model inputs'!B514</f>
        <v>413.266062512884</v>
      </c>
      <c r="C423" s="8">
        <f>'Model inputs'!C117</f>
        <v>0</v>
      </c>
      <c r="D423" s="8">
        <f>'Model inputs'!D480+'Model inputs'!D526+'Model inputs'!D538+'Model inputs'!D550+'Model inputs'!D514</f>
        <v>23.86</v>
      </c>
      <c r="E423" s="8">
        <f>'Model inputs'!E480+'Model inputs'!E526+'Model inputs'!E538+'Model inputs'!E550+'Model inputs'!E514</f>
        <v>48.91300000000001</v>
      </c>
      <c r="F423" s="8">
        <f>'Model inputs'!F480+'Model inputs'!F526+'Model inputs'!F538+'Model inputs'!F550+'Model inputs'!F514</f>
        <v>75.33795000000002</v>
      </c>
      <c r="G423" s="8">
        <f>'Model inputs'!G480+'Model inputs'!G526+'Model inputs'!G538+'Model inputs'!G550+'Model inputs'!G514</f>
        <v>103.32871250000004</v>
      </c>
      <c r="H423" s="8">
        <f>'Model inputs'!H480+'Model inputs'!H526+'Model inputs'!H538+'Model inputs'!H550+'Model inputs'!H514</f>
        <v>133.09570287500003</v>
      </c>
      <c r="I423" s="8">
        <f>'Model inputs'!I480+'Model inputs'!I526+'Model inputs'!I538+'Model inputs'!I550+'Model inputs'!I514</f>
        <v>164.86768633125007</v>
      </c>
      <c r="J423" s="8">
        <f>'Model inputs'!J480+'Model inputs'!J526+'Model inputs'!J538+'Model inputs'!J550+'Model inputs'!J514</f>
        <v>198.8937474746876</v>
      </c>
      <c r="K423" s="8">
        <f>'Model inputs'!K480+'Model inputs'!K526+'Model inputs'!K538+'Model inputs'!K550+'Model inputs'!K514</f>
        <v>235.44545010695322</v>
      </c>
      <c r="L423" s="8">
        <f>'Model inputs'!L480+'Model inputs'!L526+'Model inputs'!L538+'Model inputs'!L550+'Model inputs'!L514</f>
        <v>274.81920660820566</v>
      </c>
      <c r="M423" s="8">
        <f>'Model inputs'!M480+'Model inputs'!M526+'Model inputs'!M538+'Model inputs'!M550+'Model inputs'!M514</f>
        <v>317.3388781850554</v>
      </c>
      <c r="N423" s="8">
        <f>'Model inputs'!N480+'Model inputs'!N526+'Model inputs'!N538+'Model inputs'!N550+'Model inputs'!N514</f>
        <v>363.35862937378874</v>
      </c>
    </row>
    <row r="424" outlineLevel="1">
      <c r="A424" t="inlineStr" s="27">
        <is>
          <t xml:space="preserve">Variable cost of revenue &gt; Team</t>
        </is>
      </c>
      <c r="B424" s="8">
        <f>'Model inputs'!B481+'Model inputs'!B527+'Model inputs'!B539+'Model inputs'!B551+'Model inputs'!B515</f>
        <v>1291.5863487672154</v>
      </c>
      <c r="C424" s="8">
        <f>'Model inputs'!C118</f>
        <v>0</v>
      </c>
      <c r="D424" s="8">
        <f>'Model inputs'!D481+'Model inputs'!D527+'Model inputs'!D539+'Model inputs'!D551+'Model inputs'!D515</f>
        <v>74.57</v>
      </c>
      <c r="E424" s="8">
        <f>'Model inputs'!E481+'Model inputs'!E527+'Model inputs'!E539+'Model inputs'!E551+'Model inputs'!E515</f>
        <v>152.86850000000004</v>
      </c>
      <c r="F424" s="8">
        <f>'Model inputs'!F481+'Model inputs'!F527+'Model inputs'!F539+'Model inputs'!F551+'Model inputs'!F515</f>
        <v>235.45477500000004</v>
      </c>
      <c r="G424" s="8">
        <f>'Model inputs'!G481+'Model inputs'!G527+'Model inputs'!G539+'Model inputs'!G551+'Model inputs'!G515</f>
        <v>322.9347062500001</v>
      </c>
      <c r="H424" s="8">
        <f>'Model inputs'!H481+'Model inputs'!H527+'Model inputs'!H539+'Model inputs'!H551+'Model inputs'!H515</f>
        <v>415.9659079375001</v>
      </c>
      <c r="I424" s="8">
        <f>'Model inputs'!I481+'Model inputs'!I527+'Model inputs'!I539+'Model inputs'!I551+'Model inputs'!I515</f>
        <v>515.2633432406251</v>
      </c>
      <c r="J424" s="8">
        <f>'Model inputs'!J481+'Model inputs'!J527+'Model inputs'!J539+'Model inputs'!J551+'Model inputs'!J515</f>
        <v>621.605479848594</v>
      </c>
      <c r="K424" s="8">
        <f>'Model inputs'!K481+'Model inputs'!K527+'Model inputs'!K539+'Model inputs'!K551+'Model inputs'!K515</f>
        <v>735.8410400031644</v>
      </c>
      <c r="L424" s="8">
        <f>'Model inputs'!L481+'Model inputs'!L527+'Model inputs'!L539+'Model inputs'!L551+'Model inputs'!L515</f>
        <v>858.8964055647064</v>
      </c>
      <c r="M424" s="8">
        <f>'Model inputs'!M481+'Model inputs'!M527+'Model inputs'!M539+'Model inputs'!M551+'Model inputs'!M515</f>
        <v>991.7837446043411</v>
      </c>
      <c r="N424" s="8">
        <f>'Model inputs'!N481+'Model inputs'!N527+'Model inputs'!N539+'Model inputs'!N551+'Model inputs'!N515</f>
        <v>1135.6099326237816</v>
      </c>
    </row>
    <row r="425">
      <c r="A425" t="inlineStr" s="26">
        <is>
          <t xml:space="preserve">Variable cost of revenue</t>
        </is>
      </c>
      <c r="B425" s="16">
        <f>IF('Model inputs'!B281="","",'Model inputs'!B281)</f>
        <v>294.0781279684175</v>
      </c>
      <c r="C425" s="16">
        <f>SUM('Model inputs'!C426,'Model inputs'!C427)</f>
        <v>0</v>
      </c>
      <c r="D425" s="16">
        <f>IF('Model inputs'!D281="","",'Model inputs'!D281)</f>
        <v>30.572499999999998</v>
      </c>
      <c r="E425" s="16">
        <f>IF('Model inputs'!E281="","",'Model inputs'!E281)</f>
        <v>59.616375000000005</v>
      </c>
      <c r="F425" s="16">
        <f>IF('Model inputs'!F281="","",'Model inputs'!F281)</f>
        <v>87.28143025</v>
      </c>
      <c r="G425" s="16">
        <f>IF('Model inputs'!G281="","",'Model inputs'!G281)</f>
        <v>113.70631203750001</v>
      </c>
      <c r="H425" s="16">
        <f>IF('Model inputs'!H281="","",'Model inputs'!H281)</f>
        <v>139.01942516822504</v>
      </c>
      <c r="I425" s="16">
        <f>IF('Model inputs'!I281="","",'Model inputs'!I281)</f>
        <v>163.33977779130376</v>
      </c>
      <c r="J425" s="16">
        <f>IF('Model inputs'!J281="","",'Model inputs'!J281)</f>
        <v>186.77775940363233</v>
      </c>
      <c r="K425" s="16">
        <f>IF('Model inputs'!K281="","",'Model inputs'!K281)</f>
        <v>209.43585740204355</v>
      </c>
      <c r="L425" s="16">
        <f>IF('Model inputs'!L281="","",'Model inputs'!L281)</f>
        <v>231.40931712310297</v>
      </c>
      <c r="M425" s="16">
        <f>IF('Model inputs'!M281="","",'Model inputs'!M281)</f>
        <v>252.78674991587434</v>
      </c>
      <c r="N425" s="16">
        <f>IF('Model inputs'!N281="","",'Model inputs'!N281)</f>
        <v>273.65069343010254</v>
      </c>
    </row>
    <row r="426" outlineLevel="1">
      <c r="A426" t="inlineStr" s="27">
        <is>
          <t xml:space="preserve">Variable cost of revenue &gt; Starter</t>
        </is>
      </c>
      <c r="B426" s="8">
        <f>'Model inputs'!B483+'Model inputs'!B529+'Model inputs'!B541+'Model inputs'!B553+'Model inputs'!B517</f>
        <v>114.75515795774702</v>
      </c>
      <c r="C426" s="8">
        <f>'Model inputs'!C117</f>
        <v>0</v>
      </c>
      <c r="D426" s="8">
        <f>'Model inputs'!D483+'Model inputs'!D529+'Model inputs'!D541+'Model inputs'!D553+'Model inputs'!D517</f>
        <v>11.93</v>
      </c>
      <c r="E426" s="8">
        <f>'Model inputs'!E483+'Model inputs'!E529+'Model inputs'!E541+'Model inputs'!E553+'Model inputs'!E517</f>
        <v>23.2635</v>
      </c>
      <c r="F426" s="8">
        <f>'Model inputs'!F483+'Model inputs'!F529+'Model inputs'!F541+'Model inputs'!F553+'Model inputs'!F517</f>
        <v>34.058957</v>
      </c>
      <c r="G426" s="8">
        <f>'Model inputs'!G483+'Model inputs'!G529+'Model inputs'!G541+'Model inputs'!G553+'Model inputs'!G517</f>
        <v>44.37047355</v>
      </c>
      <c r="H426" s="8">
        <f>'Model inputs'!H483+'Model inputs'!H529+'Model inputs'!H541+'Model inputs'!H553+'Model inputs'!H517</f>
        <v>54.24815576930001</v>
      </c>
      <c r="I426" s="8">
        <f>'Model inputs'!I483+'Model inputs'!I529+'Model inputs'!I541+'Model inputs'!I553+'Model inputs'!I517</f>
        <v>63.73844301415502</v>
      </c>
      <c r="J426" s="8">
        <f>'Model inputs'!J483+'Model inputs'!J529+'Model inputs'!J541+'Model inputs'!J553+'Model inputs'!J517</f>
        <v>72.88441147061357</v>
      </c>
      <c r="K426" s="8">
        <f>'Model inputs'!K483+'Model inputs'!K529+'Model inputs'!K541+'Model inputs'!K553+'Model inputs'!K517</f>
        <v>81.7260537674832</v>
      </c>
      <c r="L426" s="8">
        <f>'Model inputs'!L483+'Model inputs'!L529+'Model inputs'!L541+'Model inputs'!L553+'Model inputs'!L517</f>
        <v>90.3005365370388</v>
      </c>
      <c r="M426" s="8">
        <f>'Model inputs'!M483+'Model inputs'!M529+'Model inputs'!M541+'Model inputs'!M553+'Model inputs'!M517</f>
        <v>98.64243769715858</v>
      </c>
      <c r="N426" s="8">
        <f>'Model inputs'!N483+'Model inputs'!N529+'Model inputs'!N541+'Model inputs'!N553+'Model inputs'!N517</f>
        <v>106.78396508696126</v>
      </c>
    </row>
    <row r="427" outlineLevel="1">
      <c r="A427" t="inlineStr" s="27">
        <is>
          <t xml:space="preserve">Variable cost of revenue &gt; Team</t>
        </is>
      </c>
      <c r="B427" s="8">
        <f>'Model inputs'!B484+'Model inputs'!B530+'Model inputs'!B542+'Model inputs'!B554+'Model inputs'!B518</f>
        <v>179.32297001067047</v>
      </c>
      <c r="C427" s="8">
        <f>'Model inputs'!C118</f>
        <v>0</v>
      </c>
      <c r="D427" s="8">
        <f>'Model inputs'!D484+'Model inputs'!D530+'Model inputs'!D542+'Model inputs'!D554+'Model inputs'!D518</f>
        <v>18.6425</v>
      </c>
      <c r="E427" s="8">
        <f>'Model inputs'!E484+'Model inputs'!E530+'Model inputs'!E542+'Model inputs'!E554+'Model inputs'!E518</f>
        <v>36.352875000000004</v>
      </c>
      <c r="F427" s="8">
        <f>'Model inputs'!F484+'Model inputs'!F530+'Model inputs'!F542+'Model inputs'!F554+'Model inputs'!F518</f>
        <v>53.22247325000001</v>
      </c>
      <c r="G427" s="8">
        <f>'Model inputs'!G484+'Model inputs'!G530+'Model inputs'!G542+'Model inputs'!G554+'Model inputs'!G518</f>
        <v>69.33583848750001</v>
      </c>
      <c r="H427" s="8">
        <f>'Model inputs'!H484+'Model inputs'!H530+'Model inputs'!H542+'Model inputs'!H554+'Model inputs'!H518</f>
        <v>84.77126939892503</v>
      </c>
      <c r="I427" s="8">
        <f>'Model inputs'!I484+'Model inputs'!I530+'Model inputs'!I542+'Model inputs'!I554+'Model inputs'!I518</f>
        <v>99.60133477714875</v>
      </c>
      <c r="J427" s="8">
        <f>'Model inputs'!J484+'Model inputs'!J530+'Model inputs'!J542+'Model inputs'!J554+'Model inputs'!J518</f>
        <v>113.89334793301875</v>
      </c>
      <c r="K427" s="8">
        <f>'Model inputs'!K484+'Model inputs'!K530+'Model inputs'!K542+'Model inputs'!K554+'Model inputs'!K518</f>
        <v>127.70980363456036</v>
      </c>
      <c r="L427" s="8">
        <f>'Model inputs'!L484+'Model inputs'!L530+'Model inputs'!L542+'Model inputs'!L554+'Model inputs'!L518</f>
        <v>141.10878058606417</v>
      </c>
      <c r="M427" s="8">
        <f>'Model inputs'!M484+'Model inputs'!M530+'Model inputs'!M542+'Model inputs'!M554+'Model inputs'!M518</f>
        <v>154.14431221871575</v>
      </c>
      <c r="N427" s="8">
        <f>'Model inputs'!N484+'Model inputs'!N530+'Model inputs'!N542+'Model inputs'!N554+'Model inputs'!N518</f>
        <v>166.8667283431413</v>
      </c>
    </row>
    <row r="428">
      <c r="A428" t="inlineStr" s="26">
        <is>
          <t xml:space="preserve">Verification overage revenue</t>
        </is>
      </c>
      <c r="B428" s="16">
        <f>SUM('Model inputs'!B429,'Model inputs'!B430)</f>
        <v>0</v>
      </c>
      <c r="C428" s="16">
        <f>SUM('Model inputs'!C429,'Model inputs'!C430)</f>
        <v>0</v>
      </c>
      <c r="D428" s="16">
        <f>SUM('Model inputs'!D429,'Model inputs'!D430)</f>
        <v>0</v>
      </c>
      <c r="E428" s="16">
        <f>SUM('Model inputs'!E429,'Model inputs'!E430)</f>
        <v>0</v>
      </c>
      <c r="F428" s="16">
        <f>SUM('Model inputs'!F429,'Model inputs'!F430)</f>
        <v>0</v>
      </c>
      <c r="G428" s="16">
        <f>SUM('Model inputs'!G429,'Model inputs'!G430)</f>
        <v>0</v>
      </c>
      <c r="H428" s="16">
        <f>SUM('Model inputs'!H429,'Model inputs'!H430)</f>
        <v>0</v>
      </c>
      <c r="I428" s="16">
        <f>SUM('Model inputs'!I429,'Model inputs'!I430)</f>
        <v>0</v>
      </c>
      <c r="J428" s="16">
        <f>SUM('Model inputs'!J429,'Model inputs'!J430)</f>
        <v>0</v>
      </c>
      <c r="K428" s="16">
        <f>SUM('Model inputs'!K429,'Model inputs'!K430)</f>
        <v>0</v>
      </c>
      <c r="L428" s="16">
        <f>SUM('Model inputs'!L429,'Model inputs'!L430)</f>
        <v>0</v>
      </c>
      <c r="M428" s="16">
        <f>SUM('Model inputs'!M429,'Model inputs'!M430)</f>
        <v>0</v>
      </c>
      <c r="N428" s="16">
        <f>SUM('Model inputs'!N429,'Model inputs'!N430)</f>
        <v>0</v>
      </c>
    </row>
    <row r="429" outlineLevel="1">
      <c r="A429" t="inlineStr" s="27">
        <is>
          <t xml:space="preserve">Verification overage revenue &gt; Starter</t>
        </is>
      </c>
      <c r="B429" s="8">
        <f>'Model inputs'!B212*MAX('Model inputs'!O556-'Model inputs'!O468,0)*'Model inputs'!O502</f>
        <v>0</v>
      </c>
      <c r="C429" s="8">
        <f>'Model inputs'!C120</f>
        <v>0</v>
      </c>
      <c r="D429" s="8">
        <f>'Model inputs'!D212*MAX('Model inputs'!O556-'Model inputs'!O468,0)*'Model inputs'!O502</f>
        <v>0</v>
      </c>
      <c r="E429" s="8">
        <f>'Model inputs'!E212*MAX('Model inputs'!O556-'Model inputs'!O468,0)*'Model inputs'!O502</f>
        <v>0</v>
      </c>
      <c r="F429" s="8">
        <f>'Model inputs'!F212*MAX('Model inputs'!O556-'Model inputs'!O468,0)*'Model inputs'!O502</f>
        <v>0</v>
      </c>
      <c r="G429" s="8">
        <f>'Model inputs'!G212*MAX('Model inputs'!O556-'Model inputs'!O468,0)*'Model inputs'!O502</f>
        <v>0</v>
      </c>
      <c r="H429" s="8">
        <f>'Model inputs'!H212*MAX('Model inputs'!O556-'Model inputs'!O468,0)*'Model inputs'!O502</f>
        <v>0</v>
      </c>
      <c r="I429" s="8">
        <f>'Model inputs'!I212*MAX('Model inputs'!O556-'Model inputs'!O468,0)*'Model inputs'!O502</f>
        <v>0</v>
      </c>
      <c r="J429" s="8">
        <f>'Model inputs'!J212*MAX('Model inputs'!O556-'Model inputs'!O468,0)*'Model inputs'!O502</f>
        <v>0</v>
      </c>
      <c r="K429" s="8">
        <f>'Model inputs'!K212*MAX('Model inputs'!O556-'Model inputs'!O468,0)*'Model inputs'!O502</f>
        <v>0</v>
      </c>
      <c r="L429" s="8">
        <f>'Model inputs'!L212*MAX('Model inputs'!O556-'Model inputs'!O468,0)*'Model inputs'!O502</f>
        <v>0</v>
      </c>
      <c r="M429" s="8">
        <f>'Model inputs'!M212*MAX('Model inputs'!O556-'Model inputs'!O468,0)*'Model inputs'!O502</f>
        <v>0</v>
      </c>
      <c r="N429" s="8">
        <f>'Model inputs'!N212*MAX('Model inputs'!O556-'Model inputs'!O468,0)*'Model inputs'!O502</f>
        <v>0</v>
      </c>
    </row>
    <row r="430" outlineLevel="1">
      <c r="A430" t="inlineStr" s="27">
        <is>
          <t xml:space="preserve">Verification overage revenue &gt; Team</t>
        </is>
      </c>
      <c r="B430" s="8">
        <f>'Model inputs'!B213*MAX('Model inputs'!O557-'Model inputs'!O469,0)*'Model inputs'!O503</f>
        <v>0</v>
      </c>
      <c r="C430" s="8">
        <f>'Model inputs'!C121</f>
        <v>0</v>
      </c>
      <c r="D430" s="8">
        <f>'Model inputs'!D213*MAX('Model inputs'!O557-'Model inputs'!O469,0)*'Model inputs'!O503</f>
        <v>0</v>
      </c>
      <c r="E430" s="8">
        <f>'Model inputs'!E213*MAX('Model inputs'!O557-'Model inputs'!O469,0)*'Model inputs'!O503</f>
        <v>0</v>
      </c>
      <c r="F430" s="8">
        <f>'Model inputs'!F213*MAX('Model inputs'!O557-'Model inputs'!O469,0)*'Model inputs'!O503</f>
        <v>0</v>
      </c>
      <c r="G430" s="8">
        <f>'Model inputs'!G213*MAX('Model inputs'!O557-'Model inputs'!O469,0)*'Model inputs'!O503</f>
        <v>0</v>
      </c>
      <c r="H430" s="8">
        <f>'Model inputs'!H213*MAX('Model inputs'!O557-'Model inputs'!O469,0)*'Model inputs'!O503</f>
        <v>0</v>
      </c>
      <c r="I430" s="8">
        <f>'Model inputs'!I213*MAX('Model inputs'!O557-'Model inputs'!O469,0)*'Model inputs'!O503</f>
        <v>0</v>
      </c>
      <c r="J430" s="8">
        <f>'Model inputs'!J213*MAX('Model inputs'!O557-'Model inputs'!O469,0)*'Model inputs'!O503</f>
        <v>0</v>
      </c>
      <c r="K430" s="8">
        <f>'Model inputs'!K213*MAX('Model inputs'!O557-'Model inputs'!O469,0)*'Model inputs'!O503</f>
        <v>0</v>
      </c>
      <c r="L430" s="8">
        <f>'Model inputs'!L213*MAX('Model inputs'!O557-'Model inputs'!O469,0)*'Model inputs'!O503</f>
        <v>0</v>
      </c>
      <c r="M430" s="8">
        <f>'Model inputs'!M213*MAX('Model inputs'!O557-'Model inputs'!O469,0)*'Model inputs'!O503</f>
        <v>0</v>
      </c>
      <c r="N430" s="8">
        <f>'Model inputs'!N213*MAX('Model inputs'!O557-'Model inputs'!O469,0)*'Model inputs'!O503</f>
        <v>0</v>
      </c>
    </row>
    <row r="431">
      <c r="A431" t="inlineStr" s="26">
        <is>
          <t xml:space="preserve">Verification overage revenue</t>
        </is>
      </c>
      <c r="B431" s="16">
        <f>IF('Model inputs'!B282="","",'Model inputs'!B282)</f>
        <v>1241.7087318608721</v>
      </c>
      <c r="C431" s="16">
        <f>SUM('Model inputs'!C432,'Model inputs'!C433)</f>
        <v>0</v>
      </c>
      <c r="D431" s="16">
        <f>IF('Model inputs'!D282="","",'Model inputs'!D282)</f>
        <v>48</v>
      </c>
      <c r="E431" s="16">
        <f>IF('Model inputs'!E282="","",'Model inputs'!E282)</f>
        <v>101.76000000000002</v>
      </c>
      <c r="F431" s="16">
        <f>IF('Model inputs'!F282="","",'Model inputs'!F282)</f>
        <v>162.18720000000002</v>
      </c>
      <c r="G431" s="16">
        <f>IF('Model inputs'!G282="","",'Model inputs'!G282)</f>
        <v>230.32358399999998</v>
      </c>
      <c r="H431" s="16">
        <f>IF('Model inputs'!H282="","",'Model inputs'!H282)</f>
        <v>307.36617648</v>
      </c>
      <c r="I431" s="16">
        <f>IF('Model inputs'!I282="","",'Model inputs'!I282)</f>
        <v>394.69033618559996</v>
      </c>
      <c r="J431" s="16">
        <f>IF('Model inputs'!J282="","",'Model inputs'!J282)</f>
        <v>493.87654285003185</v>
      </c>
      <c r="K431" s="16">
        <f>IF('Model inputs'!K282="","",'Model inputs'!K282)</f>
        <v>606.741200827031</v>
      </c>
      <c r="L431" s="16">
        <f>IF('Model inputs'!L282="","",'Model inputs'!L282)</f>
        <v>735.3720622040948</v>
      </c>
      <c r="M431" s="16">
        <f>IF('Model inputs'!M282="","",'Model inputs'!M282)</f>
        <v>882.1689623501283</v>
      </c>
      <c r="N431" s="16">
        <f>IF('Model inputs'!N282="","",'Model inputs'!N282)</f>
        <v>1049.890664793604</v>
      </c>
    </row>
    <row r="432" outlineLevel="1">
      <c r="A432" t="inlineStr" s="27">
        <is>
          <t xml:space="preserve">Verification overage revenue &gt; Starter</t>
        </is>
      </c>
      <c r="B432" s="8">
        <f>IF('Model inputs'!B283="","",'Model inputs'!B283)</f>
        <v>206.95145531014538</v>
      </c>
      <c r="C432" s="8">
        <f>'Model inputs'!C120</f>
        <v>0</v>
      </c>
      <c r="D432" s="8">
        <f>IF('Model inputs'!D283="","",'Model inputs'!D283)</f>
        <v>8</v>
      </c>
      <c r="E432" s="8">
        <f>IF('Model inputs'!E283="","",'Model inputs'!E283)</f>
        <v>16.960000000000004</v>
      </c>
      <c r="F432" s="8">
        <f>IF('Model inputs'!F283="","",'Model inputs'!F283)</f>
        <v>27.031200000000002</v>
      </c>
      <c r="G432" s="8">
        <f>IF('Model inputs'!G283="","",'Model inputs'!G283)</f>
        <v>38.387263999999995</v>
      </c>
      <c r="H432" s="8">
        <f>IF('Model inputs'!H283="","",'Model inputs'!H283)</f>
        <v>51.22769608</v>
      </c>
      <c r="I432" s="8">
        <f>IF('Model inputs'!I283="","",'Model inputs'!I283)</f>
        <v>65.78172269759999</v>
      </c>
      <c r="J432" s="8">
        <f>IF('Model inputs'!J283="","",'Model inputs'!J283)</f>
        <v>82.31275714167198</v>
      </c>
      <c r="K432" s="8">
        <f>IF('Model inputs'!K283="","",'Model inputs'!K283)</f>
        <v>101.12353347117181</v>
      </c>
      <c r="L432" s="8">
        <f>IF('Model inputs'!L283="","",'Model inputs'!L283)</f>
        <v>122.56201036734916</v>
      </c>
      <c r="M432" s="8">
        <f>IF('Model inputs'!M283="","",'Model inputs'!M283)</f>
        <v>147.02816039168803</v>
      </c>
      <c r="N432" s="8">
        <f>IF('Model inputs'!N283="","",'Model inputs'!N283)</f>
        <v>174.98177746560066</v>
      </c>
    </row>
    <row r="433" outlineLevel="1">
      <c r="A433" t="inlineStr" s="27">
        <is>
          <t xml:space="preserve">Verification overage revenue &gt; Team</t>
        </is>
      </c>
      <c r="B433" s="8">
        <f>IF('Model inputs'!B284="","",'Model inputs'!B284)</f>
        <v>1034.7572765507268</v>
      </c>
      <c r="C433" s="8">
        <f>'Model inputs'!C121</f>
        <v>0</v>
      </c>
      <c r="D433" s="8">
        <f>IF('Model inputs'!D284="","",'Model inputs'!D284)</f>
        <v>40</v>
      </c>
      <c r="E433" s="8">
        <f>IF('Model inputs'!E284="","",'Model inputs'!E284)</f>
        <v>84.80000000000001</v>
      </c>
      <c r="F433" s="8">
        <f>IF('Model inputs'!F284="","",'Model inputs'!F284)</f>
        <v>135.156</v>
      </c>
      <c r="G433" s="8">
        <f>IF('Model inputs'!G284="","",'Model inputs'!G284)</f>
        <v>191.93632</v>
      </c>
      <c r="H433" s="8">
        <f>IF('Model inputs'!H284="","",'Model inputs'!H284)</f>
        <v>256.1384804</v>
      </c>
      <c r="I433" s="8">
        <f>IF('Model inputs'!I284="","",'Model inputs'!I284)</f>
        <v>328.90861348799996</v>
      </c>
      <c r="J433" s="8">
        <f>IF('Model inputs'!J284="","",'Model inputs'!J284)</f>
        <v>411.5637857083599</v>
      </c>
      <c r="K433" s="8">
        <f>IF('Model inputs'!K284="","",'Model inputs'!K284)</f>
        <v>505.6176673558591</v>
      </c>
      <c r="L433" s="8">
        <f>IF('Model inputs'!L284="","",'Model inputs'!L284)</f>
        <v>612.8100518367457</v>
      </c>
      <c r="M433" s="8">
        <f>IF('Model inputs'!M284="","",'Model inputs'!M284)</f>
        <v>735.1408019584402</v>
      </c>
      <c r="N433" s="8">
        <f>IF('Model inputs'!N284="","",'Model inputs'!N284)</f>
        <v>874.9088873280033</v>
      </c>
    </row>
    <row r="434">
      <c r="A434" t="inlineStr" s="26">
        <is>
          <t xml:space="preserve">Verification overage revenue</t>
        </is>
      </c>
      <c r="B434" s="16">
        <f>SUM('Model inputs'!B435,'Model inputs'!B436)</f>
        <v>415.69092624933853</v>
      </c>
      <c r="C434" s="16">
        <f>SUM('Model inputs'!C435,'Model inputs'!C436)</f>
        <v>0</v>
      </c>
      <c r="D434" s="16">
        <f>SUM('Model inputs'!D435,'Model inputs'!D436)</f>
        <v>24</v>
      </c>
      <c r="E434" s="16">
        <f>SUM('Model inputs'!E435,'Model inputs'!E436)</f>
        <v>49.20000000000001</v>
      </c>
      <c r="F434" s="16">
        <f>SUM('Model inputs'!F435,'Model inputs'!F436)</f>
        <v>75.78000000000002</v>
      </c>
      <c r="G434" s="16">
        <f>SUM('Model inputs'!G435,'Model inputs'!G436)</f>
        <v>103.93500000000003</v>
      </c>
      <c r="H434" s="16">
        <f>SUM('Model inputs'!H435,'Model inputs'!H436)</f>
        <v>133.87665000000004</v>
      </c>
      <c r="I434" s="16">
        <f>SUM('Model inputs'!I435,'Model inputs'!I436)</f>
        <v>165.83505750000006</v>
      </c>
      <c r="J434" s="16">
        <f>SUM('Model inputs'!J435,'Model inputs'!J436)</f>
        <v>200.0607686250001</v>
      </c>
      <c r="K434" s="16">
        <f>SUM('Model inputs'!K435,'Model inputs'!K436)</f>
        <v>236.82694059375012</v>
      </c>
      <c r="L434" s="16">
        <f>SUM('Model inputs'!L435,'Model inputs'!L436)</f>
        <v>276.4317250040627</v>
      </c>
      <c r="M434" s="16">
        <f>SUM('Model inputs'!M435,'Model inputs'!M436)</f>
        <v>319.2008833378596</v>
      </c>
      <c r="N434" s="16">
        <f>SUM('Model inputs'!N435,'Model inputs'!N436)</f>
        <v>365.4906582133667</v>
      </c>
    </row>
    <row r="435" outlineLevel="1">
      <c r="A435" t="inlineStr" s="27">
        <is>
          <t xml:space="preserve">Verification overage revenue &gt; Starter</t>
        </is>
      </c>
      <c r="B435" s="8">
        <f>'Model inputs'!B218*MAX('Model inputs'!O559-'Model inputs'!O471,0)*'Model inputs'!O505</f>
        <v>69.28182104155643</v>
      </c>
      <c r="C435" s="8">
        <f>'Model inputs'!C120</f>
        <v>0</v>
      </c>
      <c r="D435" s="8">
        <f>'Model inputs'!D218*MAX('Model inputs'!O559-'Model inputs'!O471,0)*'Model inputs'!O505</f>
        <v>4</v>
      </c>
      <c r="E435" s="8">
        <f>'Model inputs'!E218*MAX('Model inputs'!O559-'Model inputs'!O471,0)*'Model inputs'!O505</f>
        <v>8.200000000000001</v>
      </c>
      <c r="F435" s="8">
        <f>'Model inputs'!F218*MAX('Model inputs'!O559-'Model inputs'!O471,0)*'Model inputs'!O505</f>
        <v>12.630000000000003</v>
      </c>
      <c r="G435" s="8">
        <f>'Model inputs'!G218*MAX('Model inputs'!O559-'Model inputs'!O471,0)*'Model inputs'!O505</f>
        <v>17.322500000000005</v>
      </c>
      <c r="H435" s="8">
        <f>'Model inputs'!H218*MAX('Model inputs'!O559-'Model inputs'!O471,0)*'Model inputs'!O505</f>
        <v>22.312775000000006</v>
      </c>
      <c r="I435" s="8">
        <f>'Model inputs'!I218*MAX('Model inputs'!O559-'Model inputs'!O471,0)*'Model inputs'!O505</f>
        <v>27.63917625000001</v>
      </c>
      <c r="J435" s="8">
        <f>'Model inputs'!J218*MAX('Model inputs'!O559-'Model inputs'!O471,0)*'Model inputs'!O505</f>
        <v>33.34346143750002</v>
      </c>
      <c r="K435" s="8">
        <f>'Model inputs'!K218*MAX('Model inputs'!O559-'Model inputs'!O471,0)*'Model inputs'!O505</f>
        <v>39.47115676562502</v>
      </c>
      <c r="L435" s="8">
        <f>'Model inputs'!L218*MAX('Model inputs'!O559-'Model inputs'!O471,0)*'Model inputs'!O505</f>
        <v>46.07195416734378</v>
      </c>
      <c r="M435" s="8">
        <f>'Model inputs'!M218*MAX('Model inputs'!O559-'Model inputs'!O471,0)*'Model inputs'!O505</f>
        <v>53.200147222976604</v>
      </c>
      <c r="N435" s="8">
        <f>'Model inputs'!N218*MAX('Model inputs'!O559-'Model inputs'!O471,0)*'Model inputs'!O505</f>
        <v>60.91510970222778</v>
      </c>
    </row>
    <row r="436" outlineLevel="1">
      <c r="A436" t="inlineStr" s="27">
        <is>
          <t xml:space="preserve">Verification overage revenue &gt; Team</t>
        </is>
      </c>
      <c r="B436" s="8">
        <f>'Model inputs'!B219*MAX('Model inputs'!O560-'Model inputs'!O472,0)*'Model inputs'!O506</f>
        <v>346.4091052077821</v>
      </c>
      <c r="C436" s="8">
        <f>'Model inputs'!C121</f>
        <v>0</v>
      </c>
      <c r="D436" s="8">
        <f>'Model inputs'!D219*MAX('Model inputs'!O560-'Model inputs'!O472,0)*'Model inputs'!O506</f>
        <v>20</v>
      </c>
      <c r="E436" s="8">
        <f>'Model inputs'!E219*MAX('Model inputs'!O560-'Model inputs'!O472,0)*'Model inputs'!O506</f>
        <v>41.00000000000001</v>
      </c>
      <c r="F436" s="8">
        <f>'Model inputs'!F219*MAX('Model inputs'!O560-'Model inputs'!O472,0)*'Model inputs'!O506</f>
        <v>63.15000000000001</v>
      </c>
      <c r="G436" s="8">
        <f>'Model inputs'!G219*MAX('Model inputs'!O560-'Model inputs'!O472,0)*'Model inputs'!O506</f>
        <v>86.61250000000003</v>
      </c>
      <c r="H436" s="8">
        <f>'Model inputs'!H219*MAX('Model inputs'!O560-'Model inputs'!O472,0)*'Model inputs'!O506</f>
        <v>111.56387500000004</v>
      </c>
      <c r="I436" s="8">
        <f>'Model inputs'!I219*MAX('Model inputs'!O560-'Model inputs'!O472,0)*'Model inputs'!O506</f>
        <v>138.19588125000004</v>
      </c>
      <c r="J436" s="8">
        <f>'Model inputs'!J219*MAX('Model inputs'!O560-'Model inputs'!O472,0)*'Model inputs'!O506</f>
        <v>166.71730718750007</v>
      </c>
      <c r="K436" s="8">
        <f>'Model inputs'!K219*MAX('Model inputs'!O560-'Model inputs'!O472,0)*'Model inputs'!O506</f>
        <v>197.3557838281251</v>
      </c>
      <c r="L436" s="8">
        <f>'Model inputs'!L219*MAX('Model inputs'!O560-'Model inputs'!O472,0)*'Model inputs'!O506</f>
        <v>230.3597708367189</v>
      </c>
      <c r="M436" s="8">
        <f>'Model inputs'!M219*MAX('Model inputs'!O560-'Model inputs'!O472,0)*'Model inputs'!O506</f>
        <v>266.00073611488295</v>
      </c>
      <c r="N436" s="8">
        <f>'Model inputs'!N219*MAX('Model inputs'!O560-'Model inputs'!O472,0)*'Model inputs'!O506</f>
        <v>304.57554851113895</v>
      </c>
    </row>
    <row r="437">
      <c r="A437" t="inlineStr" s="26">
        <is>
          <t xml:space="preserve">Verification overage revenue</t>
        </is>
      </c>
      <c r="B437" s="16">
        <f>IF('Model inputs'!B285="","",'Model inputs'!B285)</f>
        <v>67.33328631217344</v>
      </c>
      <c r="C437" s="16">
        <f>SUM('Model inputs'!C438,'Model inputs'!C439)</f>
        <v>0</v>
      </c>
      <c r="D437" s="16">
        <f>IF('Model inputs'!D285="","",'Model inputs'!D285)</f>
        <v>7</v>
      </c>
      <c r="E437" s="16">
        <f>IF('Model inputs'!E285="","",'Model inputs'!E285)</f>
        <v>13.650000000000002</v>
      </c>
      <c r="F437" s="16">
        <f>IF('Model inputs'!F285="","",'Model inputs'!F285)</f>
        <v>19.984300000000005</v>
      </c>
      <c r="G437" s="16">
        <f>IF('Model inputs'!G285="","",'Model inputs'!G285)</f>
        <v>26.034645000000005</v>
      </c>
      <c r="H437" s="16">
        <f>IF('Model inputs'!H285="","",'Model inputs'!H285)</f>
        <v>31.830435070000007</v>
      </c>
      <c r="I437" s="16">
        <f>IF('Model inputs'!I285="","",'Model inputs'!I285)</f>
        <v>37.398918784500005</v>
      </c>
      <c r="J437" s="16">
        <f>IF('Model inputs'!J285="","",'Model inputs'!J285)</f>
        <v>42.765371357443</v>
      </c>
      <c r="K437" s="16">
        <f>IF('Model inputs'!K285="","",'Model inputs'!K285)</f>
        <v>47.95325870682165</v>
      </c>
      <c r="L437" s="16">
        <f>IF('Model inputs'!L285="","",'Model inputs'!L285)</f>
        <v>52.98438857998923</v>
      </c>
      <c r="M437" s="16">
        <f>IF('Model inputs'!M285="","",'Model inputs'!M285)</f>
        <v>57.87904978039482</v>
      </c>
      <c r="N437" s="16">
        <f>IF('Model inputs'!N285="","",'Model inputs'!N285)</f>
        <v>62.65614045337209</v>
      </c>
    </row>
    <row r="438" outlineLevel="1">
      <c r="A438" t="inlineStr" s="27">
        <is>
          <t xml:space="preserve">Verification overage revenue &gt; Starter</t>
        </is>
      </c>
      <c r="B438" s="8">
        <f>IF('Model inputs'!B286="","",'Model inputs'!B286)</f>
        <v>19.238081803478124</v>
      </c>
      <c r="C438" s="8">
        <f>'Model inputs'!C120</f>
        <v>0</v>
      </c>
      <c r="D438" s="8">
        <f>IF('Model inputs'!D286="","",'Model inputs'!D286)</f>
        <v>2</v>
      </c>
      <c r="E438" s="8">
        <f>IF('Model inputs'!E286="","",'Model inputs'!E286)</f>
        <v>3.9000000000000004</v>
      </c>
      <c r="F438" s="8">
        <f>IF('Model inputs'!F286="","",'Model inputs'!F286)</f>
        <v>5.709800000000001</v>
      </c>
      <c r="G438" s="8">
        <f>IF('Model inputs'!G286="","",'Model inputs'!G286)</f>
        <v>7.4384700000000015</v>
      </c>
      <c r="H438" s="8">
        <f>IF('Model inputs'!H286="","",'Model inputs'!H286)</f>
        <v>9.094410020000002</v>
      </c>
      <c r="I438" s="8">
        <f>IF('Model inputs'!I286="","",'Model inputs'!I286)</f>
        <v>10.685405367000001</v>
      </c>
      <c r="J438" s="8">
        <f>IF('Model inputs'!J286="","",'Model inputs'!J286)</f>
        <v>12.218677530698002</v>
      </c>
      <c r="K438" s="8">
        <f>IF('Model inputs'!K286="","",'Model inputs'!K286)</f>
        <v>13.7009310590919</v>
      </c>
      <c r="L438" s="8">
        <f>IF('Model inputs'!L286="","",'Model inputs'!L286)</f>
        <v>15.13839673713978</v>
      </c>
      <c r="M438" s="8">
        <f>IF('Model inputs'!M286="","",'Model inputs'!M286)</f>
        <v>16.536871365827093</v>
      </c>
      <c r="N438" s="8">
        <f>IF('Model inputs'!N286="","",'Model inputs'!N286)</f>
        <v>17.90175441524917</v>
      </c>
    </row>
    <row r="439" outlineLevel="1">
      <c r="A439" t="inlineStr" s="27">
        <is>
          <t xml:space="preserve">Verification overage revenue &gt; Team</t>
        </is>
      </c>
      <c r="B439" s="8">
        <f>IF('Model inputs'!B287="","",'Model inputs'!B287)</f>
        <v>48.09520450869531</v>
      </c>
      <c r="C439" s="8">
        <f>'Model inputs'!C121</f>
        <v>0</v>
      </c>
      <c r="D439" s="8">
        <f>IF('Model inputs'!D287="","",'Model inputs'!D287)</f>
        <v>5</v>
      </c>
      <c r="E439" s="8">
        <f>IF('Model inputs'!E287="","",'Model inputs'!E287)</f>
        <v>9.750000000000002</v>
      </c>
      <c r="F439" s="8">
        <f>IF('Model inputs'!F287="","",'Model inputs'!F287)</f>
        <v>14.274500000000002</v>
      </c>
      <c r="G439" s="8">
        <f>IF('Model inputs'!G287="","",'Model inputs'!G287)</f>
        <v>18.596175000000002</v>
      </c>
      <c r="H439" s="8">
        <f>IF('Model inputs'!H287="","",'Model inputs'!H287)</f>
        <v>22.736025050000006</v>
      </c>
      <c r="I439" s="8">
        <f>IF('Model inputs'!I287="","",'Model inputs'!I287)</f>
        <v>26.713513417500003</v>
      </c>
      <c r="J439" s="8">
        <f>IF('Model inputs'!J287="","",'Model inputs'!J287)</f>
        <v>30.546693826745003</v>
      </c>
      <c r="K439" s="8">
        <f>IF('Model inputs'!K287="","",'Model inputs'!K287)</f>
        <v>34.25232764772975</v>
      </c>
      <c r="L439" s="8">
        <f>IF('Model inputs'!L287="","",'Model inputs'!L287)</f>
        <v>37.84599184284945</v>
      </c>
      <c r="M439" s="8">
        <f>IF('Model inputs'!M287="","",'Model inputs'!M287)</f>
        <v>41.34217841456773</v>
      </c>
      <c r="N439" s="8">
        <f>IF('Model inputs'!N287="","",'Model inputs'!N287)</f>
        <v>44.75438603812292</v>
      </c>
    </row>
    <row r="440">
      <c r="A440" t="inlineStr" s="26">
        <is>
          <t xml:space="preserve">Verifications per customer</t>
        </is>
      </c>
      <c r="O440" s="6">
        <v>0</v>
      </c>
    </row>
    <row r="441" outlineLevel="1">
      <c r="A441" t="inlineStr" s="27">
        <is>
          <t xml:space="preserve">Verifications per customer &gt; Starter</t>
        </is>
      </c>
      <c r="O441" s="9">
        <f>'NeatRescue — Assumptions &amp; (2)'!D5</f>
        <v>120</v>
      </c>
    </row>
    <row r="442" outlineLevel="1">
      <c r="A442" t="inlineStr" s="27">
        <is>
          <t xml:space="preserve">Verifications per customer &gt; Team</t>
        </is>
      </c>
      <c r="O442" s="9">
        <f>'NeatRescue — Assumptions &amp; (2)'!D6</f>
        <v>800</v>
      </c>
    </row>
    <row r="443">
      <c r="A443" t="inlineStr" s="26">
        <is>
          <t xml:space="preserve">Verifications per customer</t>
        </is>
      </c>
      <c r="O443" s="6">
        <v>0</v>
      </c>
    </row>
    <row r="444" outlineLevel="1">
      <c r="A444" t="inlineStr" s="27">
        <is>
          <t xml:space="preserve">Verifications per customer &gt; Starter</t>
        </is>
      </c>
      <c r="O444" s="9">
        <f>'NeatRescue — Assumptions &amp; (2)'!D5</f>
        <v>120</v>
      </c>
    </row>
    <row r="445" outlineLevel="1">
      <c r="A445" t="inlineStr" s="27">
        <is>
          <t xml:space="preserve">Verifications per customer &gt; Team</t>
        </is>
      </c>
      <c r="O445" s="9">
        <f>'NeatRescue — Assumptions &amp; (2)'!D6</f>
        <v>800</v>
      </c>
    </row>
    <row r="446">
      <c r="A446" t="inlineStr" s="26">
        <is>
          <t xml:space="preserve">Billed verifications</t>
        </is>
      </c>
      <c r="B446" s="6">
        <f>IF('Model inputs'!B187="","",'Model inputs'!B187)</f>
        <v>18013.273470804666</v>
      </c>
      <c r="C446" s="6">
        <f>SUM('Model inputs'!C447,'Model inputs'!C448)</f>
        <v>0</v>
      </c>
      <c r="D446" s="6">
        <f>IF('Model inputs'!D187="","",'Model inputs'!D187)</f>
        <v>1040</v>
      </c>
      <c r="E446" s="6">
        <f>IF('Model inputs'!E187="","",'Model inputs'!E187)</f>
        <v>2132.0000000000005</v>
      </c>
      <c r="F446" s="6">
        <f>IF('Model inputs'!F187="","",'Model inputs'!F187)</f>
        <v>3283.8000000000006</v>
      </c>
      <c r="G446" s="6">
        <f>IF('Model inputs'!G187="","",'Model inputs'!G187)</f>
        <v>4503.850000000001</v>
      </c>
      <c r="H446" s="6">
        <f>IF('Model inputs'!H187="","",'Model inputs'!H187)</f>
        <v>5801.321500000002</v>
      </c>
      <c r="I446" s="6">
        <f>IF('Model inputs'!I187="","",'Model inputs'!I187)</f>
        <v>7186.185825000002</v>
      </c>
      <c r="J446" s="6">
        <f>IF('Model inputs'!J187="","",'Model inputs'!J187)</f>
        <v>8669.299973750003</v>
      </c>
      <c r="K446" s="6">
        <f>IF('Model inputs'!K187="","",'Model inputs'!K187)</f>
        <v>10262.500759062505</v>
      </c>
      <c r="L446" s="6">
        <f>IF('Model inputs'!L187="","",'Model inputs'!L187)</f>
        <v>11978.708083509382</v>
      </c>
      <c r="M446" s="6">
        <f>IF('Model inputs'!M187="","",'Model inputs'!M187)</f>
        <v>13832.038277973914</v>
      </c>
      <c r="N446" s="6">
        <f>IF('Model inputs'!N187="","",'Model inputs'!N187)</f>
        <v>15837.928522579223</v>
      </c>
    </row>
    <row r="447" outlineLevel="1">
      <c r="A447" t="inlineStr" s="27">
        <is>
          <t xml:space="preserve">Billed verifications &gt; Starter</t>
        </is>
      </c>
      <c r="B447" s="9">
        <f>IF('Model inputs'!B188="","",'Model inputs'!B188)</f>
        <v>4156.909262493385</v>
      </c>
      <c r="C447" s="9">
        <f>0</f>
        <v>0</v>
      </c>
      <c r="D447" s="9">
        <f>IF('Model inputs'!D188="","",'Model inputs'!D188)</f>
        <v>240</v>
      </c>
      <c r="E447" s="9">
        <f>IF('Model inputs'!E188="","",'Model inputs'!E188)</f>
        <v>492.00000000000006</v>
      </c>
      <c r="F447" s="9">
        <f>IF('Model inputs'!F188="","",'Model inputs'!F188)</f>
        <v>757.8000000000002</v>
      </c>
      <c r="G447" s="9">
        <f>IF('Model inputs'!G188="","",'Model inputs'!G188)</f>
        <v>1039.3500000000004</v>
      </c>
      <c r="H447" s="9">
        <f>IF('Model inputs'!H188="","",'Model inputs'!H188)</f>
        <v>1338.7665000000004</v>
      </c>
      <c r="I447" s="9">
        <f>IF('Model inputs'!I188="","",'Model inputs'!I188)</f>
        <v>1658.3505750000006</v>
      </c>
      <c r="J447" s="9">
        <f>IF('Model inputs'!J188="","",'Model inputs'!J188)</f>
        <v>2000.6076862500006</v>
      </c>
      <c r="K447" s="9">
        <f>IF('Model inputs'!K188="","",'Model inputs'!K188)</f>
        <v>2368.2694059375012</v>
      </c>
      <c r="L447" s="9">
        <f>IF('Model inputs'!L188="","",'Model inputs'!L188)</f>
        <v>2764.3172500406267</v>
      </c>
      <c r="M447" s="9">
        <f>IF('Model inputs'!M188="","",'Model inputs'!M188)</f>
        <v>3192.0088333785957</v>
      </c>
      <c r="N447" s="9">
        <f>IF('Model inputs'!N188="","",'Model inputs'!N188)</f>
        <v>3654.9065821336667</v>
      </c>
    </row>
    <row r="448" outlineLevel="1">
      <c r="A448" t="inlineStr" s="27">
        <is>
          <t xml:space="preserve">Billed verifications &gt; Team</t>
        </is>
      </c>
      <c r="B448" s="9">
        <f>IF('Model inputs'!B189="","",'Model inputs'!B189)</f>
        <v>13856.364208311283</v>
      </c>
      <c r="C448" s="9">
        <f>0</f>
        <v>0</v>
      </c>
      <c r="D448" s="9">
        <f>IF('Model inputs'!D189="","",'Model inputs'!D189)</f>
        <v>800</v>
      </c>
      <c r="E448" s="9">
        <f>IF('Model inputs'!E189="","",'Model inputs'!E189)</f>
        <v>1640.0000000000002</v>
      </c>
      <c r="F448" s="9">
        <f>IF('Model inputs'!F189="","",'Model inputs'!F189)</f>
        <v>2526.0000000000005</v>
      </c>
      <c r="G448" s="9">
        <f>IF('Model inputs'!G189="","",'Model inputs'!G189)</f>
        <v>3464.500000000001</v>
      </c>
      <c r="H448" s="9">
        <f>IF('Model inputs'!H189="","",'Model inputs'!H189)</f>
        <v>4462.555000000001</v>
      </c>
      <c r="I448" s="9">
        <f>IF('Model inputs'!I189="","",'Model inputs'!I189)</f>
        <v>5527.835250000002</v>
      </c>
      <c r="J448" s="9">
        <f>IF('Model inputs'!J189="","",'Model inputs'!J189)</f>
        <v>6668.692287500002</v>
      </c>
      <c r="K448" s="9">
        <f>IF('Model inputs'!K189="","",'Model inputs'!K189)</f>
        <v>7894.231353125004</v>
      </c>
      <c r="L448" s="9">
        <f>IF('Model inputs'!L189="","",'Model inputs'!L189)</f>
        <v>9214.390833468755</v>
      </c>
      <c r="M448" s="9">
        <f>IF('Model inputs'!M189="","",'Model inputs'!M189)</f>
        <v>10640.029444595319</v>
      </c>
      <c r="N448" s="9">
        <f>IF('Model inputs'!N189="","",'Model inputs'!N189)</f>
        <v>12183.021940445557</v>
      </c>
    </row>
    <row r="449">
      <c r="A449" t="inlineStr" s="26">
        <is>
          <t xml:space="preserve">Closing customers</t>
        </is>
      </c>
      <c r="B449" s="6">
        <f>IF('Model inputs'!B21="","",'Model inputs'!B21)</f>
        <v>155.21359148260902</v>
      </c>
      <c r="C449" s="6">
        <f>SUM('Model inputs'!C450,'Model inputs'!C451)</f>
        <v>0</v>
      </c>
      <c r="D449" s="6">
        <f>IF('Model inputs'!D21="","",'Model inputs'!D21)</f>
        <v>6</v>
      </c>
      <c r="E449" s="6">
        <f>IF('Model inputs'!E21="","",'Model inputs'!E21)</f>
        <v>12.72</v>
      </c>
      <c r="F449" s="6">
        <f>IF('Model inputs'!F21="","",'Model inputs'!F21)</f>
        <v>20.2734</v>
      </c>
      <c r="G449" s="6">
        <f>IF('Model inputs'!G21="","",'Model inputs'!G21)</f>
        <v>28.790447999999998</v>
      </c>
      <c r="H449" s="6">
        <f>IF('Model inputs'!H21="","",'Model inputs'!H21)</f>
        <v>38.42077206</v>
      </c>
      <c r="I449" s="6">
        <f>IF('Model inputs'!I21="","",'Model inputs'!I21)</f>
        <v>49.33629202319999</v>
      </c>
      <c r="J449" s="6">
        <f>IF('Model inputs'!J21="","",'Model inputs'!J21)</f>
        <v>61.73456785625399</v>
      </c>
      <c r="K449" s="6">
        <f>IF('Model inputs'!K21="","",'Model inputs'!K21)</f>
        <v>75.84265010337886</v>
      </c>
      <c r="L449" s="6">
        <f>IF('Model inputs'!L21="","",'Model inputs'!L21)</f>
        <v>91.92150777551186</v>
      </c>
      <c r="M449" s="6">
        <f>IF('Model inputs'!M21="","",'Model inputs'!M21)</f>
        <v>110.27112029376602</v>
      </c>
      <c r="N449" s="6">
        <f>IF('Model inputs'!N21="","",'Model inputs'!N21)</f>
        <v>131.23633309920046</v>
      </c>
    </row>
    <row r="450" outlineLevel="1">
      <c r="A450" t="inlineStr" s="27">
        <is>
          <t xml:space="preserve">Closing customers &gt; Starter</t>
        </is>
      </c>
      <c r="B450" s="9">
        <f>IF('Model inputs'!B215="","",'Model inputs'!B215)</f>
        <v>103.47572765507267</v>
      </c>
      <c r="C450" s="9">
        <f>'Model inputs'!C18</f>
        <v>0</v>
      </c>
      <c r="D450" s="9">
        <f>IF('Model inputs'!D215="","",'Model inputs'!D215)</f>
        <v>4</v>
      </c>
      <c r="E450" s="9">
        <f>IF('Model inputs'!E215="","",'Model inputs'!E215)</f>
        <v>8.48</v>
      </c>
      <c r="F450" s="9">
        <f>IF('Model inputs'!F215="","",'Model inputs'!F215)</f>
        <v>13.5156</v>
      </c>
      <c r="G450" s="9">
        <f>IF('Model inputs'!G215="","",'Model inputs'!G215)</f>
        <v>19.193631999999997</v>
      </c>
      <c r="H450" s="9">
        <f>IF('Model inputs'!H215="","",'Model inputs'!H215)</f>
        <v>25.613848039999997</v>
      </c>
      <c r="I450" s="9">
        <f>IF('Model inputs'!I215="","",'Model inputs'!I215)</f>
        <v>32.890861348799994</v>
      </c>
      <c r="J450" s="9">
        <f>IF('Model inputs'!J215="","",'Model inputs'!J215)</f>
        <v>41.15637857083599</v>
      </c>
      <c r="K450" s="9">
        <f>IF('Model inputs'!K215="","",'Model inputs'!K215)</f>
        <v>50.561766735585906</v>
      </c>
      <c r="L450" s="9">
        <f>IF('Model inputs'!L215="","",'Model inputs'!L215)</f>
        <v>61.28100518367457</v>
      </c>
      <c r="M450" s="9">
        <f>IF('Model inputs'!M215="","",'Model inputs'!M215)</f>
        <v>73.51408019584402</v>
      </c>
      <c r="N450" s="9">
        <f>IF('Model inputs'!N215="","",'Model inputs'!N215)</f>
        <v>87.49088873280031</v>
      </c>
    </row>
    <row r="451" outlineLevel="1">
      <c r="A451" t="inlineStr" s="27">
        <is>
          <t xml:space="preserve">Closing customers &gt; Team</t>
        </is>
      </c>
      <c r="B451" s="9">
        <f>IF('Model inputs'!B216="","",'Model inputs'!B216)</f>
        <v>51.73786382753634</v>
      </c>
      <c r="C451" s="9">
        <f>'Model inputs'!C19</f>
        <v>0</v>
      </c>
      <c r="D451" s="9">
        <f>IF('Model inputs'!D216="","",'Model inputs'!D216)</f>
        <v>2</v>
      </c>
      <c r="E451" s="9">
        <f>IF('Model inputs'!E216="","",'Model inputs'!E216)</f>
        <v>4.24</v>
      </c>
      <c r="F451" s="9">
        <f>IF('Model inputs'!F216="","",'Model inputs'!F216)</f>
        <v>6.7578</v>
      </c>
      <c r="G451" s="9">
        <f>IF('Model inputs'!G216="","",'Model inputs'!G216)</f>
        <v>9.596815999999999</v>
      </c>
      <c r="H451" s="9">
        <f>IF('Model inputs'!H216="","",'Model inputs'!H216)</f>
        <v>12.806924019999999</v>
      </c>
      <c r="I451" s="9">
        <f>IF('Model inputs'!I216="","",'Model inputs'!I216)</f>
        <v>16.445430674399997</v>
      </c>
      <c r="J451" s="9">
        <f>IF('Model inputs'!J216="","",'Model inputs'!J216)</f>
        <v>20.578189285417995</v>
      </c>
      <c r="K451" s="9">
        <f>IF('Model inputs'!K216="","",'Model inputs'!K216)</f>
        <v>25.280883367792953</v>
      </c>
      <c r="L451" s="9">
        <f>IF('Model inputs'!L216="","",'Model inputs'!L216)</f>
        <v>30.640502591837286</v>
      </c>
      <c r="M451" s="9">
        <f>IF('Model inputs'!M216="","",'Model inputs'!M216)</f>
        <v>36.75704009792201</v>
      </c>
      <c r="N451" s="9">
        <f>IF('Model inputs'!N216="","",'Model inputs'!N216)</f>
        <v>43.74544436640016</v>
      </c>
    </row>
    <row r="452">
      <c r="A452" t="inlineStr" s="26">
        <is>
          <t xml:space="preserve">Closing customers</t>
        </is>
      </c>
      <c r="B452" s="6">
        <f>IF('Model inputs'!B23="","",'Model inputs'!B23)</f>
        <v>12.023801127173828</v>
      </c>
      <c r="C452" s="6">
        <f>SUM('Model inputs'!C453,'Model inputs'!C454)</f>
        <v>0</v>
      </c>
      <c r="D452" s="6">
        <f>IF('Model inputs'!D23="","",'Model inputs'!D23)</f>
        <v>1.25</v>
      </c>
      <c r="E452" s="6">
        <f>IF('Model inputs'!E23="","",'Model inputs'!E23)</f>
        <v>2.4375</v>
      </c>
      <c r="F452" s="6">
        <f>IF('Model inputs'!F23="","",'Model inputs'!F23)</f>
        <v>3.5686250000000004</v>
      </c>
      <c r="G452" s="6">
        <f>IF('Model inputs'!G23="","",'Model inputs'!G23)</f>
        <v>4.649043750000001</v>
      </c>
      <c r="H452" s="6">
        <f>IF('Model inputs'!H23="","",'Model inputs'!H23)</f>
        <v>5.6840062625000005</v>
      </c>
      <c r="I452" s="6">
        <f>IF('Model inputs'!I23="","",'Model inputs'!I23)</f>
        <v>6.678378354375001</v>
      </c>
      <c r="J452" s="6">
        <f>IF('Model inputs'!J23="","",'Model inputs'!J23)</f>
        <v>7.636673456686251</v>
      </c>
      <c r="K452" s="6">
        <f>IF('Model inputs'!K23="","",'Model inputs'!K23)</f>
        <v>8.563081911932438</v>
      </c>
      <c r="L452" s="6">
        <f>IF('Model inputs'!L23="","",'Model inputs'!L23)</f>
        <v>9.461497960712363</v>
      </c>
      <c r="M452" s="6">
        <f>IF('Model inputs'!M23="","",'Model inputs'!M23)</f>
        <v>10.335544603641932</v>
      </c>
      <c r="N452" s="6">
        <f>IF('Model inputs'!N23="","",'Model inputs'!N23)</f>
        <v>11.18859650953073</v>
      </c>
    </row>
    <row r="453" outlineLevel="1">
      <c r="A453" t="inlineStr" s="27">
        <is>
          <t xml:space="preserve">Closing customers &gt; Starter</t>
        </is>
      </c>
      <c r="B453" s="9">
        <f>IF('Model inputs'!B221="","",'Model inputs'!B221)</f>
        <v>9.619040901739062</v>
      </c>
      <c r="C453" s="9">
        <f>'Model inputs'!C18</f>
        <v>0</v>
      </c>
      <c r="D453" s="9">
        <f>IF('Model inputs'!D221="","",'Model inputs'!D221)</f>
        <v>1</v>
      </c>
      <c r="E453" s="9">
        <f>IF('Model inputs'!E221="","",'Model inputs'!E221)</f>
        <v>1.9500000000000002</v>
      </c>
      <c r="F453" s="9">
        <f>IF('Model inputs'!F221="","",'Model inputs'!F221)</f>
        <v>2.8549</v>
      </c>
      <c r="G453" s="9">
        <f>IF('Model inputs'!G221="","",'Model inputs'!G221)</f>
        <v>3.7192350000000003</v>
      </c>
      <c r="H453" s="9">
        <f>IF('Model inputs'!H221="","",'Model inputs'!H221)</f>
        <v>4.547205010000001</v>
      </c>
      <c r="I453" s="9">
        <f>IF('Model inputs'!I221="","",'Model inputs'!I221)</f>
        <v>5.342702683500001</v>
      </c>
      <c r="J453" s="9">
        <f>IF('Model inputs'!J221="","",'Model inputs'!J221)</f>
        <v>6.109338765349</v>
      </c>
      <c r="K453" s="9">
        <f>IF('Model inputs'!K221="","",'Model inputs'!K221)</f>
        <v>6.85046552954595</v>
      </c>
      <c r="L453" s="9">
        <f>IF('Model inputs'!L221="","",'Model inputs'!L221)</f>
        <v>7.56919836856989</v>
      </c>
      <c r="M453" s="9">
        <f>IF('Model inputs'!M221="","",'Model inputs'!M221)</f>
        <v>8.268435682913545</v>
      </c>
      <c r="N453" s="9">
        <f>IF('Model inputs'!N221="","",'Model inputs'!N221)</f>
        <v>8.950877207624583</v>
      </c>
    </row>
    <row r="454" outlineLevel="1">
      <c r="A454" t="inlineStr" s="27">
        <is>
          <t xml:space="preserve">Closing customers &gt; Team</t>
        </is>
      </c>
      <c r="B454" s="9">
        <f>IF('Model inputs'!B222="","",'Model inputs'!B222)</f>
        <v>2.4047602254347655</v>
      </c>
      <c r="C454" s="9">
        <f>'Model inputs'!C19</f>
        <v>0</v>
      </c>
      <c r="D454" s="9">
        <f>IF('Model inputs'!D222="","",'Model inputs'!D222)</f>
        <v>0.25</v>
      </c>
      <c r="E454" s="9">
        <f>IF('Model inputs'!E222="","",'Model inputs'!E222)</f>
        <v>0.48750000000000004</v>
      </c>
      <c r="F454" s="9">
        <f>IF('Model inputs'!F222="","",'Model inputs'!F222)</f>
        <v>0.713725</v>
      </c>
      <c r="G454" s="9">
        <f>IF('Model inputs'!G222="","",'Model inputs'!G222)</f>
        <v>0.9298087500000001</v>
      </c>
      <c r="H454" s="9">
        <f>IF('Model inputs'!H222="","",'Model inputs'!H222)</f>
        <v>1.1368012525000002</v>
      </c>
      <c r="I454" s="9">
        <f>IF('Model inputs'!I222="","",'Model inputs'!I222)</f>
        <v>1.3356756708750002</v>
      </c>
      <c r="J454" s="9">
        <f>IF('Model inputs'!J222="","",'Model inputs'!J222)</f>
        <v>1.52733469133725</v>
      </c>
      <c r="K454" s="9">
        <f>IF('Model inputs'!K222="","",'Model inputs'!K222)</f>
        <v>1.7126163823864875</v>
      </c>
      <c r="L454" s="9">
        <f>IF('Model inputs'!L222="","",'Model inputs'!L222)</f>
        <v>1.8922995921424726</v>
      </c>
      <c r="M454" s="9">
        <f>IF('Model inputs'!M222="","",'Model inputs'!M222)</f>
        <v>2.067108920728386</v>
      </c>
      <c r="N454" s="9">
        <f>IF('Model inputs'!N222="","",'Model inputs'!N222)</f>
        <v>2.2377193019061457</v>
      </c>
    </row>
    <row r="455">
      <c r="A455" t="inlineStr" s="26">
        <is>
          <t xml:space="preserve">First-month new customers</t>
        </is>
      </c>
      <c r="O455" s="6">
        <v>0</v>
      </c>
    </row>
    <row r="456" outlineLevel="1">
      <c r="A456" t="inlineStr" s="27">
        <is>
          <t xml:space="preserve">First-month new customers &gt; Starter</t>
        </is>
      </c>
      <c r="O456" s="9">
        <f>0</f>
        <v>0</v>
      </c>
    </row>
    <row r="457" outlineLevel="1">
      <c r="A457" t="inlineStr" s="27">
        <is>
          <t xml:space="preserve">First-month new customers &gt; Team</t>
        </is>
      </c>
      <c r="O457" s="9">
        <f>0</f>
        <v>0</v>
      </c>
    </row>
    <row r="458">
      <c r="A458" t="inlineStr" s="26">
        <is>
          <t xml:space="preserve">First-month new customers</t>
        </is>
      </c>
      <c r="O458" s="6">
        <v>0</v>
      </c>
    </row>
    <row r="459" outlineLevel="1">
      <c r="A459" t="inlineStr" s="27">
        <is>
          <t xml:space="preserve">First-month new customers &gt; Starter</t>
        </is>
      </c>
      <c r="O459" s="9">
        <f>4</f>
        <v>4</v>
      </c>
    </row>
    <row r="460" outlineLevel="1">
      <c r="A460" t="inlineStr" s="27">
        <is>
          <t xml:space="preserve">First-month new customers &gt; Team</t>
        </is>
      </c>
      <c r="O460" s="9">
        <f>2</f>
        <v>2</v>
      </c>
    </row>
    <row r="461">
      <c r="A461" t="inlineStr" s="26">
        <is>
          <t xml:space="preserve">First-month new customers</t>
        </is>
      </c>
      <c r="O461" s="6">
        <v>0</v>
      </c>
    </row>
    <row r="462" outlineLevel="1">
      <c r="A462" t="inlineStr" s="27">
        <is>
          <t xml:space="preserve">First-month new customers &gt; Starter</t>
        </is>
      </c>
      <c r="O462" s="9">
        <f>'NeatRescue — Assumptions &amp; (2)'!G5</f>
        <v>2</v>
      </c>
    </row>
    <row r="463" outlineLevel="1">
      <c r="A463" t="inlineStr" s="27">
        <is>
          <t xml:space="preserve">First-month new customers &gt; Team</t>
        </is>
      </c>
      <c r="O463" s="9">
        <f>'NeatRescue — Assumptions &amp; (2)'!G6</f>
        <v>1</v>
      </c>
    </row>
    <row r="464">
      <c r="A464" t="inlineStr" s="26">
        <is>
          <t xml:space="preserve">First-month new customers</t>
        </is>
      </c>
      <c r="O464" s="6">
        <v>0</v>
      </c>
    </row>
    <row r="465" outlineLevel="1">
      <c r="A465" t="inlineStr" s="27">
        <is>
          <t xml:space="preserve">First-month new customers &gt; Starter</t>
        </is>
      </c>
      <c r="O465" s="9">
        <f>1</f>
        <v>1</v>
      </c>
    </row>
    <row r="466" outlineLevel="1">
      <c r="A466" t="inlineStr" s="27">
        <is>
          <t xml:space="preserve">First-month new customers &gt; Team</t>
        </is>
      </c>
      <c r="O466" s="9">
        <f>0.25</f>
        <v>0.25</v>
      </c>
    </row>
    <row r="467">
      <c r="A467" t="inlineStr" s="26">
        <is>
          <t xml:space="preserve">Included verifications</t>
        </is>
      </c>
      <c r="O467" s="6">
        <v>0</v>
      </c>
    </row>
    <row r="468" outlineLevel="1">
      <c r="A468" t="inlineStr" s="27">
        <is>
          <t xml:space="preserve">Included verifications &gt; Starter</t>
        </is>
      </c>
      <c r="O468" s="9">
        <f>'NeatRescue — Assumptions &amp; (2)'!C5</f>
        <v>100</v>
      </c>
    </row>
    <row r="469" outlineLevel="1">
      <c r="A469" t="inlineStr" s="27">
        <is>
          <t xml:space="preserve">Included verifications &gt; Team</t>
        </is>
      </c>
      <c r="O469" s="9">
        <f>'NeatRescue — Assumptions &amp; (2)'!C6</f>
        <v>600</v>
      </c>
    </row>
    <row r="470">
      <c r="A470" t="inlineStr" s="26">
        <is>
          <t xml:space="preserve">Included verifications</t>
        </is>
      </c>
      <c r="O470" s="6">
        <v>0</v>
      </c>
    </row>
    <row r="471" outlineLevel="1">
      <c r="A471" t="inlineStr" s="27">
        <is>
          <t xml:space="preserve">Included verifications &gt; Starter</t>
        </is>
      </c>
      <c r="O471" s="9">
        <f>'NeatRescue — Assumptions &amp; (2)'!C5</f>
        <v>100</v>
      </c>
    </row>
    <row r="472" outlineLevel="1">
      <c r="A472" t="inlineStr" s="27">
        <is>
          <t xml:space="preserve">Included verifications &gt; Team</t>
        </is>
      </c>
      <c r="O472" s="9">
        <f>'NeatRescue — Assumptions &amp; (2)'!C6</f>
        <v>600</v>
      </c>
    </row>
    <row r="473">
      <c r="A473" t="inlineStr" s="26">
        <is>
          <t xml:space="preserve">Inference expense</t>
        </is>
      </c>
      <c r="B473" s="16">
        <f>SUM('Model inputs'!B474,'Model inputs'!B475)</f>
        <v>0</v>
      </c>
      <c r="C473" s="16">
        <f>SUM('Model inputs'!C474,'Model inputs'!C475)</f>
        <v>0</v>
      </c>
      <c r="D473" s="16">
        <f>SUM('Model inputs'!D474,'Model inputs'!D475)</f>
        <v>0</v>
      </c>
      <c r="E473" s="16">
        <f>SUM('Model inputs'!E474,'Model inputs'!E475)</f>
        <v>0</v>
      </c>
      <c r="F473" s="16">
        <f>SUM('Model inputs'!F474,'Model inputs'!F475)</f>
        <v>0</v>
      </c>
      <c r="G473" s="16">
        <f>SUM('Model inputs'!G474,'Model inputs'!G475)</f>
        <v>0</v>
      </c>
      <c r="H473" s="16">
        <f>SUM('Model inputs'!H474,'Model inputs'!H475)</f>
        <v>0</v>
      </c>
      <c r="I473" s="16">
        <f>SUM('Model inputs'!I474,'Model inputs'!I475)</f>
        <v>0</v>
      </c>
      <c r="J473" s="16">
        <f>SUM('Model inputs'!J474,'Model inputs'!J475)</f>
        <v>0</v>
      </c>
      <c r="K473" s="16">
        <f>SUM('Model inputs'!K474,'Model inputs'!K475)</f>
        <v>0</v>
      </c>
      <c r="L473" s="16">
        <f>SUM('Model inputs'!L474,'Model inputs'!L475)</f>
        <v>0</v>
      </c>
      <c r="M473" s="16">
        <f>SUM('Model inputs'!M474,'Model inputs'!M475)</f>
        <v>0</v>
      </c>
      <c r="N473" s="16">
        <f>SUM('Model inputs'!N474,'Model inputs'!N475)</f>
        <v>0</v>
      </c>
    </row>
    <row r="474" outlineLevel="1">
      <c r="A474" t="inlineStr" s="27">
        <is>
          <t xml:space="preserve">Inference expense &gt; Starter</t>
        </is>
      </c>
      <c r="B474" s="8">
        <f>'Model inputs'!B562*'Model inputs'!O577</f>
        <v>0</v>
      </c>
      <c r="C474" s="8">
        <f>'Model inputs'!C289</f>
        <v>0</v>
      </c>
      <c r="D474" s="8">
        <f>'Model inputs'!D562*'Model inputs'!O577</f>
        <v>0</v>
      </c>
      <c r="E474" s="8">
        <f>'Model inputs'!E562*'Model inputs'!O577</f>
        <v>0</v>
      </c>
      <c r="F474" s="8">
        <f>'Model inputs'!F562*'Model inputs'!O577</f>
        <v>0</v>
      </c>
      <c r="G474" s="8">
        <f>'Model inputs'!G562*'Model inputs'!O577</f>
        <v>0</v>
      </c>
      <c r="H474" s="8">
        <f>'Model inputs'!H562*'Model inputs'!O577</f>
        <v>0</v>
      </c>
      <c r="I474" s="8">
        <f>'Model inputs'!I562*'Model inputs'!O577</f>
        <v>0</v>
      </c>
      <c r="J474" s="8">
        <f>'Model inputs'!J562*'Model inputs'!O577</f>
        <v>0</v>
      </c>
      <c r="K474" s="8">
        <f>'Model inputs'!K562*'Model inputs'!O577</f>
        <v>0</v>
      </c>
      <c r="L474" s="8">
        <f>'Model inputs'!L562*'Model inputs'!O577</f>
        <v>0</v>
      </c>
      <c r="M474" s="8">
        <f>'Model inputs'!M562*'Model inputs'!O577</f>
        <v>0</v>
      </c>
      <c r="N474" s="8">
        <f>'Model inputs'!N562*'Model inputs'!O577</f>
        <v>0</v>
      </c>
    </row>
    <row r="475" outlineLevel="1">
      <c r="A475" t="inlineStr" s="27">
        <is>
          <t xml:space="preserve">Inference expense &gt; Team</t>
        </is>
      </c>
      <c r="B475" s="8">
        <f>'Model inputs'!B563*'Model inputs'!O577</f>
        <v>0</v>
      </c>
      <c r="C475" s="8">
        <f>'Model inputs'!C290</f>
        <v>0</v>
      </c>
      <c r="D475" s="8">
        <f>'Model inputs'!D563*'Model inputs'!O577</f>
        <v>0</v>
      </c>
      <c r="E475" s="8">
        <f>'Model inputs'!E563*'Model inputs'!O577</f>
        <v>0</v>
      </c>
      <c r="F475" s="8">
        <f>'Model inputs'!F563*'Model inputs'!O577</f>
        <v>0</v>
      </c>
      <c r="G475" s="8">
        <f>'Model inputs'!G563*'Model inputs'!O577</f>
        <v>0</v>
      </c>
      <c r="H475" s="8">
        <f>'Model inputs'!H563*'Model inputs'!O577</f>
        <v>0</v>
      </c>
      <c r="I475" s="8">
        <f>'Model inputs'!I563*'Model inputs'!O577</f>
        <v>0</v>
      </c>
      <c r="J475" s="8">
        <f>'Model inputs'!J563*'Model inputs'!O577</f>
        <v>0</v>
      </c>
      <c r="K475" s="8">
        <f>'Model inputs'!K563*'Model inputs'!O577</f>
        <v>0</v>
      </c>
      <c r="L475" s="8">
        <f>'Model inputs'!L563*'Model inputs'!O577</f>
        <v>0</v>
      </c>
      <c r="M475" s="8">
        <f>'Model inputs'!M563*'Model inputs'!O577</f>
        <v>0</v>
      </c>
      <c r="N475" s="8">
        <f>'Model inputs'!N563*'Model inputs'!O577</f>
        <v>0</v>
      </c>
    </row>
    <row r="476">
      <c r="A476" t="inlineStr" s="26">
        <is>
          <t xml:space="preserve">Inference expense</t>
        </is>
      </c>
      <c r="B476" s="16">
        <f>SUM('Model inputs'!B477,'Model inputs'!B478)</f>
        <v>2690.3689190318896</v>
      </c>
      <c r="C476" s="16">
        <f>SUM('Model inputs'!C477,'Model inputs'!C478)</f>
        <v>0</v>
      </c>
      <c r="D476" s="16">
        <f>SUM('Model inputs'!D477,'Model inputs'!D478)</f>
        <v>104</v>
      </c>
      <c r="E476" s="16">
        <f>SUM('Model inputs'!E477,'Model inputs'!E478)</f>
        <v>220.48000000000002</v>
      </c>
      <c r="F476" s="16">
        <f>SUM('Model inputs'!F477,'Model inputs'!F478)</f>
        <v>351.4056</v>
      </c>
      <c r="G476" s="16">
        <f>SUM('Model inputs'!G477,'Model inputs'!G478)</f>
        <v>499.034432</v>
      </c>
      <c r="H476" s="16">
        <f>SUM('Model inputs'!H477,'Model inputs'!H478)</f>
        <v>665.96004904</v>
      </c>
      <c r="I476" s="16">
        <f>SUM('Model inputs'!I477,'Model inputs'!I478)</f>
        <v>855.1623950687999</v>
      </c>
      <c r="J476" s="16">
        <f>SUM('Model inputs'!J477,'Model inputs'!J478)</f>
        <v>1070.0658428417357</v>
      </c>
      <c r="K476" s="16">
        <f>SUM('Model inputs'!K477,'Model inputs'!K478)</f>
        <v>1314.6059351252336</v>
      </c>
      <c r="L476" s="16">
        <f>SUM('Model inputs'!L477,'Model inputs'!L478)</f>
        <v>1593.306134775539</v>
      </c>
      <c r="M476" s="16">
        <f>SUM('Model inputs'!M477,'Model inputs'!M478)</f>
        <v>1911.3660850919446</v>
      </c>
      <c r="N476" s="16">
        <f>SUM('Model inputs'!N477,'Model inputs'!N478)</f>
        <v>2274.7631070528087</v>
      </c>
    </row>
    <row r="477" outlineLevel="1">
      <c r="A477" t="inlineStr" s="27">
        <is>
          <t xml:space="preserve">Inference expense &gt; Starter</t>
        </is>
      </c>
      <c r="B477" s="8">
        <f>'Model inputs'!B565*'Model inputs'!O578</f>
        <v>620.8543659304361</v>
      </c>
      <c r="C477" s="8">
        <f>'Model inputs'!C289</f>
        <v>0</v>
      </c>
      <c r="D477" s="8">
        <f>'Model inputs'!D565*'Model inputs'!O578</f>
        <v>24</v>
      </c>
      <c r="E477" s="8">
        <f>'Model inputs'!E565*'Model inputs'!O578</f>
        <v>50.88</v>
      </c>
      <c r="F477" s="8">
        <f>'Model inputs'!F565*'Model inputs'!O578</f>
        <v>81.0936</v>
      </c>
      <c r="G477" s="8">
        <f>'Model inputs'!G565*'Model inputs'!O578</f>
        <v>115.16179199999999</v>
      </c>
      <c r="H477" s="8">
        <f>'Model inputs'!H565*'Model inputs'!O578</f>
        <v>153.68308824</v>
      </c>
      <c r="I477" s="8">
        <f>'Model inputs'!I565*'Model inputs'!O578</f>
        <v>197.34516809279998</v>
      </c>
      <c r="J477" s="8">
        <f>'Model inputs'!J565*'Model inputs'!O578</f>
        <v>246.93827142501596</v>
      </c>
      <c r="K477" s="8">
        <f>'Model inputs'!K565*'Model inputs'!O578</f>
        <v>303.37060041351543</v>
      </c>
      <c r="L477" s="8">
        <f>'Model inputs'!L565*'Model inputs'!O578</f>
        <v>367.6860311020475</v>
      </c>
      <c r="M477" s="8">
        <f>'Model inputs'!M565*'Model inputs'!O578</f>
        <v>441.0844811750642</v>
      </c>
      <c r="N477" s="8">
        <f>'Model inputs'!N565*'Model inputs'!O578</f>
        <v>524.9453323968019</v>
      </c>
    </row>
    <row r="478" outlineLevel="1">
      <c r="A478" t="inlineStr" s="27">
        <is>
          <t xml:space="preserve">Inference expense &gt; Team</t>
        </is>
      </c>
      <c r="B478" s="8">
        <f>'Model inputs'!B566*'Model inputs'!O578</f>
        <v>2069.5145531014537</v>
      </c>
      <c r="C478" s="8">
        <f>'Model inputs'!C290</f>
        <v>0</v>
      </c>
      <c r="D478" s="8">
        <f>'Model inputs'!D566*'Model inputs'!O578</f>
        <v>80</v>
      </c>
      <c r="E478" s="8">
        <f>'Model inputs'!E566*'Model inputs'!O578</f>
        <v>169.60000000000002</v>
      </c>
      <c r="F478" s="8">
        <f>'Model inputs'!F566*'Model inputs'!O578</f>
        <v>270.312</v>
      </c>
      <c r="G478" s="8">
        <f>'Model inputs'!G566*'Model inputs'!O578</f>
        <v>383.87264</v>
      </c>
      <c r="H478" s="8">
        <f>'Model inputs'!H566*'Model inputs'!O578</f>
        <v>512.2769608</v>
      </c>
      <c r="I478" s="8">
        <f>'Model inputs'!I566*'Model inputs'!O578</f>
        <v>657.8172269759999</v>
      </c>
      <c r="J478" s="8">
        <f>'Model inputs'!J566*'Model inputs'!O578</f>
        <v>823.1275714167198</v>
      </c>
      <c r="K478" s="8">
        <f>'Model inputs'!K566*'Model inputs'!O578</f>
        <v>1011.2353347117182</v>
      </c>
      <c r="L478" s="8">
        <f>'Model inputs'!L566*'Model inputs'!O578</f>
        <v>1225.6201036734915</v>
      </c>
      <c r="M478" s="8">
        <f>'Model inputs'!M566*'Model inputs'!O578</f>
        <v>1470.2816039168804</v>
      </c>
      <c r="N478" s="8">
        <f>'Model inputs'!N566*'Model inputs'!O578</f>
        <v>1749.8177746560066</v>
      </c>
    </row>
    <row r="479">
      <c r="A479" t="inlineStr" s="26">
        <is>
          <t xml:space="preserve">Inference expense</t>
        </is>
      </c>
      <c r="B479" s="16">
        <f>SUM('Model inputs'!B480,'Model inputs'!B481)</f>
        <v>900.6636735402334</v>
      </c>
      <c r="C479" s="16">
        <f>SUM('Model inputs'!C480,'Model inputs'!C481)</f>
        <v>0</v>
      </c>
      <c r="D479" s="16">
        <f>SUM('Model inputs'!D480,'Model inputs'!D481)</f>
        <v>52</v>
      </c>
      <c r="E479" s="16">
        <f>SUM('Model inputs'!E480,'Model inputs'!E481)</f>
        <v>106.60000000000002</v>
      </c>
      <c r="F479" s="16">
        <f>SUM('Model inputs'!F480,'Model inputs'!F481)</f>
        <v>164.19000000000003</v>
      </c>
      <c r="G479" s="16">
        <f>SUM('Model inputs'!G480,'Model inputs'!G481)</f>
        <v>225.19250000000008</v>
      </c>
      <c r="H479" s="16">
        <f>SUM('Model inputs'!H480,'Model inputs'!H481)</f>
        <v>290.06607500000007</v>
      </c>
      <c r="I479" s="16">
        <f>SUM('Model inputs'!I480,'Model inputs'!I481)</f>
        <v>359.3092912500001</v>
      </c>
      <c r="J479" s="16">
        <f>SUM('Model inputs'!J480,'Model inputs'!J481)</f>
        <v>433.46499868750016</v>
      </c>
      <c r="K479" s="16">
        <f>SUM('Model inputs'!K480,'Model inputs'!K481)</f>
        <v>513.1250379531252</v>
      </c>
      <c r="L479" s="16">
        <f>SUM('Model inputs'!L480,'Model inputs'!L481)</f>
        <v>598.9354041754691</v>
      </c>
      <c r="M479" s="16">
        <f>SUM('Model inputs'!M480,'Model inputs'!M481)</f>
        <v>691.6019138986957</v>
      </c>
      <c r="N479" s="16">
        <f>SUM('Model inputs'!N480,'Model inputs'!N481)</f>
        <v>791.8964261289613</v>
      </c>
    </row>
    <row r="480" outlineLevel="1">
      <c r="A480" t="inlineStr" s="27">
        <is>
          <t xml:space="preserve">Inference expense &gt; Starter</t>
        </is>
      </c>
      <c r="B480" s="8">
        <f>'Model inputs'!B568*'Model inputs'!O579</f>
        <v>207.84546312466924</v>
      </c>
      <c r="C480" s="8">
        <f>'Model inputs'!C289</f>
        <v>0</v>
      </c>
      <c r="D480" s="8">
        <f>'Model inputs'!D568*'Model inputs'!O579</f>
        <v>12</v>
      </c>
      <c r="E480" s="8">
        <f>'Model inputs'!E568*'Model inputs'!O579</f>
        <v>24.600000000000005</v>
      </c>
      <c r="F480" s="8">
        <f>'Model inputs'!F568*'Model inputs'!O579</f>
        <v>37.89000000000001</v>
      </c>
      <c r="G480" s="8">
        <f>'Model inputs'!G568*'Model inputs'!O579</f>
        <v>51.96750000000002</v>
      </c>
      <c r="H480" s="8">
        <f>'Model inputs'!H568*'Model inputs'!O579</f>
        <v>66.93832500000002</v>
      </c>
      <c r="I480" s="8">
        <f>'Model inputs'!I568*'Model inputs'!O579</f>
        <v>82.91752875000003</v>
      </c>
      <c r="J480" s="8">
        <f>'Model inputs'!J568*'Model inputs'!O579</f>
        <v>100.03038431250003</v>
      </c>
      <c r="K480" s="8">
        <f>'Model inputs'!K568*'Model inputs'!O579</f>
        <v>118.41347029687506</v>
      </c>
      <c r="L480" s="8">
        <f>'Model inputs'!L568*'Model inputs'!O579</f>
        <v>138.21586250203134</v>
      </c>
      <c r="M480" s="8">
        <f>'Model inputs'!M568*'Model inputs'!O579</f>
        <v>159.6004416689298</v>
      </c>
      <c r="N480" s="8">
        <f>'Model inputs'!N568*'Model inputs'!O579</f>
        <v>182.74532910668336</v>
      </c>
    </row>
    <row r="481" outlineLevel="1">
      <c r="A481" t="inlineStr" s="27">
        <is>
          <t xml:space="preserve">Inference expense &gt; Team</t>
        </is>
      </c>
      <c r="B481" s="8">
        <f>'Model inputs'!B569*'Model inputs'!O579</f>
        <v>692.8182104155642</v>
      </c>
      <c r="C481" s="8">
        <f>'Model inputs'!C290</f>
        <v>0</v>
      </c>
      <c r="D481" s="8">
        <f>'Model inputs'!D569*'Model inputs'!O579</f>
        <v>40</v>
      </c>
      <c r="E481" s="8">
        <f>'Model inputs'!E569*'Model inputs'!O579</f>
        <v>82.00000000000001</v>
      </c>
      <c r="F481" s="8">
        <f>'Model inputs'!F569*'Model inputs'!O579</f>
        <v>126.30000000000003</v>
      </c>
      <c r="G481" s="8">
        <f>'Model inputs'!G569*'Model inputs'!O579</f>
        <v>173.22500000000005</v>
      </c>
      <c r="H481" s="8">
        <f>'Model inputs'!H569*'Model inputs'!O579</f>
        <v>223.12775000000008</v>
      </c>
      <c r="I481" s="8">
        <f>'Model inputs'!I569*'Model inputs'!O579</f>
        <v>276.3917625000001</v>
      </c>
      <c r="J481" s="8">
        <f>'Model inputs'!J569*'Model inputs'!O579</f>
        <v>333.43461437500014</v>
      </c>
      <c r="K481" s="8">
        <f>'Model inputs'!K569*'Model inputs'!O579</f>
        <v>394.7115676562502</v>
      </c>
      <c r="L481" s="8">
        <f>'Model inputs'!L569*'Model inputs'!O579</f>
        <v>460.7195416734378</v>
      </c>
      <c r="M481" s="8">
        <f>'Model inputs'!M569*'Model inputs'!O579</f>
        <v>532.0014722297659</v>
      </c>
      <c r="N481" s="8">
        <f>'Model inputs'!N569*'Model inputs'!O579</f>
        <v>609.1510970222779</v>
      </c>
    </row>
    <row r="482">
      <c r="A482" t="inlineStr" s="26">
        <is>
          <t xml:space="preserve">Inference expense</t>
        </is>
      </c>
      <c r="B482" s="16">
        <f>SUM('Model inputs'!B483,'Model inputs'!B484)</f>
        <v>153.904654427825</v>
      </c>
      <c r="C482" s="16">
        <f>SUM('Model inputs'!C483,'Model inputs'!C484)</f>
        <v>0</v>
      </c>
      <c r="D482" s="16">
        <f>SUM('Model inputs'!D483,'Model inputs'!D484)</f>
        <v>16</v>
      </c>
      <c r="E482" s="16">
        <f>SUM('Model inputs'!E483,'Model inputs'!E484)</f>
        <v>31.200000000000006</v>
      </c>
      <c r="F482" s="16">
        <f>SUM('Model inputs'!F483,'Model inputs'!F484)</f>
        <v>45.6784</v>
      </c>
      <c r="G482" s="16">
        <f>SUM('Model inputs'!G483,'Model inputs'!G484)</f>
        <v>59.507760000000005</v>
      </c>
      <c r="H482" s="16">
        <f>SUM('Model inputs'!H483,'Model inputs'!H484)</f>
        <v>72.75528016000001</v>
      </c>
      <c r="I482" s="16">
        <f>SUM('Model inputs'!I483,'Model inputs'!I484)</f>
        <v>85.48324293600001</v>
      </c>
      <c r="J482" s="16">
        <f>SUM('Model inputs'!J483,'Model inputs'!J484)</f>
        <v>97.74942024558402</v>
      </c>
      <c r="K482" s="16">
        <f>SUM('Model inputs'!K483,'Model inputs'!K484)</f>
        <v>109.6074484727352</v>
      </c>
      <c r="L482" s="16">
        <f>SUM('Model inputs'!L483,'Model inputs'!L484)</f>
        <v>121.10717389711824</v>
      </c>
      <c r="M482" s="16">
        <f>SUM('Model inputs'!M483,'Model inputs'!M484)</f>
        <v>132.2949709266167</v>
      </c>
      <c r="N482" s="16">
        <f>SUM('Model inputs'!N483,'Model inputs'!N484)</f>
        <v>143.21403532199332</v>
      </c>
    </row>
    <row r="483" outlineLevel="1">
      <c r="A483" t="inlineStr" s="27">
        <is>
          <t xml:space="preserve">Inference expense &gt; Starter</t>
        </is>
      </c>
      <c r="B483" s="8">
        <f>'Model inputs'!B571*'Model inputs'!O580</f>
        <v>57.71424541043438</v>
      </c>
      <c r="C483" s="8">
        <f>'Model inputs'!C289</f>
        <v>0</v>
      </c>
      <c r="D483" s="8">
        <f>'Model inputs'!D571*'Model inputs'!O580</f>
        <v>6</v>
      </c>
      <c r="E483" s="8">
        <f>'Model inputs'!E571*'Model inputs'!O580</f>
        <v>11.700000000000003</v>
      </c>
      <c r="F483" s="8">
        <f>'Model inputs'!F571*'Model inputs'!O580</f>
        <v>17.1294</v>
      </c>
      <c r="G483" s="8">
        <f>'Model inputs'!G571*'Model inputs'!O580</f>
        <v>22.315410000000004</v>
      </c>
      <c r="H483" s="8">
        <f>'Model inputs'!H571*'Model inputs'!O580</f>
        <v>27.283230060000008</v>
      </c>
      <c r="I483" s="8">
        <f>'Model inputs'!I571*'Model inputs'!O580</f>
        <v>32.05621610100001</v>
      </c>
      <c r="J483" s="8">
        <f>'Model inputs'!J571*'Model inputs'!O580</f>
        <v>36.65603259209401</v>
      </c>
      <c r="K483" s="8">
        <f>'Model inputs'!K571*'Model inputs'!O580</f>
        <v>41.10279317727571</v>
      </c>
      <c r="L483" s="8">
        <f>'Model inputs'!L571*'Model inputs'!O580</f>
        <v>45.41519021141934</v>
      </c>
      <c r="M483" s="8">
        <f>'Model inputs'!M571*'Model inputs'!O580</f>
        <v>49.61061409748127</v>
      </c>
      <c r="N483" s="8">
        <f>'Model inputs'!N571*'Model inputs'!O580</f>
        <v>53.705263245747496</v>
      </c>
    </row>
    <row r="484" outlineLevel="1">
      <c r="A484" t="inlineStr" s="27">
        <is>
          <t xml:space="preserve">Inference expense &gt; Team</t>
        </is>
      </c>
      <c r="B484" s="8">
        <f>'Model inputs'!B572*'Model inputs'!O580</f>
        <v>96.19040901739062</v>
      </c>
      <c r="C484" s="8">
        <f>'Model inputs'!C290</f>
        <v>0</v>
      </c>
      <c r="D484" s="8">
        <f>'Model inputs'!D572*'Model inputs'!O580</f>
        <v>10</v>
      </c>
      <c r="E484" s="8">
        <f>'Model inputs'!E572*'Model inputs'!O580</f>
        <v>19.500000000000004</v>
      </c>
      <c r="F484" s="8">
        <f>'Model inputs'!F572*'Model inputs'!O580</f>
        <v>28.549000000000003</v>
      </c>
      <c r="G484" s="8">
        <f>'Model inputs'!G572*'Model inputs'!O580</f>
        <v>37.192350000000005</v>
      </c>
      <c r="H484" s="8">
        <f>'Model inputs'!H572*'Model inputs'!O580</f>
        <v>45.47205010000001</v>
      </c>
      <c r="I484" s="8">
        <f>'Model inputs'!I572*'Model inputs'!O580</f>
        <v>53.42702683500001</v>
      </c>
      <c r="J484" s="8">
        <f>'Model inputs'!J572*'Model inputs'!O580</f>
        <v>61.093387653490005</v>
      </c>
      <c r="K484" s="8">
        <f>'Model inputs'!K572*'Model inputs'!O580</f>
        <v>68.5046552954595</v>
      </c>
      <c r="L484" s="8">
        <f>'Model inputs'!L572*'Model inputs'!O580</f>
        <v>75.6919836856989</v>
      </c>
      <c r="M484" s="8">
        <f>'Model inputs'!M572*'Model inputs'!O580</f>
        <v>82.68435682913545</v>
      </c>
      <c r="N484" s="8">
        <f>'Model inputs'!N572*'Model inputs'!O580</f>
        <v>89.50877207624583</v>
      </c>
    </row>
    <row r="485">
      <c r="A485" t="inlineStr" s="26">
        <is>
          <t xml:space="preserve">Monthly acquisition growth · New customers · Closing customers · by Plan · NeatRescue — Hackathon submission · 12-month scenario comparison — hypothetical · Bootstrap no-sales stress — hypothetical · Bootstrap no-sales stress — hypothetical · Bootstrap no-sales stress — hypothetical</t>
        </is>
      </c>
      <c r="O485" s="9">
        <f>'NeatRescue — Assumptions &amp; simu'!B5</f>
        <v>0.1</v>
      </c>
    </row>
    <row r="486">
      <c r="A486" t="inlineStr" s="26">
        <is>
          <t xml:space="preserve">Monthly acquisition growth · New customers · Operating profit · Growth · Growth · Growth</t>
        </is>
      </c>
      <c r="O486" s="9">
        <f>0.15</f>
        <v>0.15</v>
      </c>
    </row>
    <row r="487">
      <c r="A487" t="inlineStr" s="26">
        <is>
          <t xml:space="preserve">Monthly acquisition growth · New customers · Closing customers · by Plan · NeatRescue — Hackathon submission · 12-month scenario comparison — hypothetical · Bootstrap $5,000 — hypothetical · Bootstrap $5,000 — hypothetical · Bootstrap $5,000 — hypothetical</t>
        </is>
      </c>
      <c r="O487" s="9">
        <f>'NeatRescue — Assumptions &amp; simu'!B5</f>
        <v>0.1</v>
      </c>
    </row>
    <row r="488">
      <c r="A488" t="inlineStr" s="26">
        <is>
          <t xml:space="preserve">Monthly acquisition growth · New customers · Operating profit · Conservative · Conservative · Conservative</t>
        </is>
      </c>
      <c r="O488" s="9">
        <f>0.03</f>
        <v>0.03</v>
      </c>
    </row>
    <row r="489">
      <c r="A489" t="inlineStr" s="26">
        <is>
          <t xml:space="preserve">Monthly customer churn · Churned customers · Closing customers · by Plan · NeatRescue — Hackathon submission · 12-month scenario comparison — hypothetical · Bootstrap no-sales stress — hypothetical · Bootstrap no-sales stress — hypothetical · Bootstrap no-sales stress — hypothetical</t>
        </is>
      </c>
      <c r="O489" s="9">
        <f>'NeatRescue — Assumptions &amp; simu'!B6</f>
        <v>0.05</v>
      </c>
    </row>
    <row r="490">
      <c r="A490" t="inlineStr" s="26">
        <is>
          <t xml:space="preserve">Monthly customer churn · Churned customers · Operating profit · Growth · Growth · Growth</t>
        </is>
      </c>
      <c r="O490" s="9">
        <f>0.03</f>
        <v>0.03</v>
      </c>
    </row>
    <row r="491">
      <c r="A491" t="inlineStr" s="26">
        <is>
          <t xml:space="preserve">Monthly customer churn · Churned customers · Closing customers · by Plan · NeatRescue — Hackathon submission · 12-month scenario comparison — hypothetical · Bootstrap $5,000 — hypothetical · Bootstrap $5,000 — hypothetical · Bootstrap $5,000 — hypothetical</t>
        </is>
      </c>
      <c r="O491" s="9">
        <f>'NeatRescue — Assumptions &amp; simu'!B6</f>
        <v>0.05</v>
      </c>
    </row>
    <row r="492">
      <c r="A492" t="inlineStr" s="26">
        <is>
          <t xml:space="preserve">Monthly customer churn · Churned customers · Operating profit · Conservative · Conservative · Conservative</t>
        </is>
      </c>
      <c r="O492" s="9">
        <f>0.08</f>
        <v>0.08</v>
      </c>
    </row>
    <row r="493">
      <c r="A493" t="inlineStr" s="26">
        <is>
          <t xml:space="preserve">Monthly subscription price</t>
        </is>
      </c>
      <c r="O493" s="16">
        <v>0</v>
      </c>
    </row>
    <row r="494" outlineLevel="1">
      <c r="A494" t="inlineStr" s="27">
        <is>
          <t xml:space="preserve">Monthly subscription price &gt; Starter</t>
        </is>
      </c>
      <c r="O494" s="8">
        <f>'NeatRescue — Assumptions &amp; (2)'!B5</f>
        <v>49</v>
      </c>
    </row>
    <row r="495" outlineLevel="1">
      <c r="A495" t="inlineStr" s="27">
        <is>
          <t xml:space="preserve">Monthly subscription price &gt; Team</t>
        </is>
      </c>
      <c r="O495" s="8">
        <f>'NeatRescue — Assumptions &amp; (2)'!B6</f>
        <v>199</v>
      </c>
    </row>
    <row r="496">
      <c r="A496" t="inlineStr" s="26">
        <is>
          <t xml:space="preserve">Monthly subscription price</t>
        </is>
      </c>
      <c r="O496" s="16">
        <v>0</v>
      </c>
    </row>
    <row r="497" outlineLevel="1">
      <c r="A497" t="inlineStr" s="27">
        <is>
          <t xml:space="preserve">Monthly subscription price &gt; Starter</t>
        </is>
      </c>
      <c r="O497" s="8">
        <f>'NeatRescue — Assumptions &amp; (2)'!B5</f>
        <v>49</v>
      </c>
    </row>
    <row r="498" outlineLevel="1">
      <c r="A498" t="inlineStr" s="27">
        <is>
          <t xml:space="preserve">Monthly subscription price &gt; Team</t>
        </is>
      </c>
      <c r="O498" s="8">
        <f>'NeatRescue — Assumptions &amp; (2)'!B6</f>
        <v>199</v>
      </c>
    </row>
    <row r="499">
      <c r="A499" t="inlineStr" s="26">
        <is>
          <t xml:space="preserve">Operating expenses · Closing cash · Growth · Growth</t>
        </is>
      </c>
      <c r="B499" s="8">
        <f>IF('Model inputs'!B50="","",'Model inputs'!B50)</f>
        <v>375</v>
      </c>
      <c r="C499" s="8">
        <v>0</v>
      </c>
      <c r="D499" s="8">
        <f>IF('Model inputs'!D50="","",'Model inputs'!D50)</f>
        <v>575</v>
      </c>
      <c r="E499" s="8">
        <f>IF('Model inputs'!E50="","",'Model inputs'!E50)</f>
        <v>375</v>
      </c>
      <c r="F499" s="8">
        <f>IF('Model inputs'!F50="","",'Model inputs'!F50)</f>
        <v>375</v>
      </c>
      <c r="G499" s="8">
        <f>IF('Model inputs'!G50="","",'Model inputs'!G50)</f>
        <v>375</v>
      </c>
      <c r="H499" s="8">
        <f>IF('Model inputs'!H50="","",'Model inputs'!H50)</f>
        <v>375</v>
      </c>
      <c r="I499" s="8">
        <f>IF('Model inputs'!I50="","",'Model inputs'!I50)</f>
        <v>375</v>
      </c>
      <c r="J499" s="8">
        <f>IF('Model inputs'!J50="","",'Model inputs'!J50)</f>
        <v>375</v>
      </c>
      <c r="K499" s="8">
        <f>IF('Model inputs'!K50="","",'Model inputs'!K50)</f>
        <v>375</v>
      </c>
      <c r="L499" s="8">
        <f>IF('Model inputs'!L50="","",'Model inputs'!L50)</f>
        <v>375</v>
      </c>
      <c r="M499" s="8">
        <f>IF('Model inputs'!M50="","",'Model inputs'!M50)</f>
        <v>375</v>
      </c>
      <c r="N499" s="8">
        <f>IF('Model inputs'!N50="","",'Model inputs'!N50)</f>
        <v>375</v>
      </c>
    </row>
    <row r="500">
      <c r="A500" t="inlineStr" s="26">
        <is>
          <t xml:space="preserve">Operating expenses · Closing cash · Conservative · Conservative</t>
        </is>
      </c>
      <c r="B500" s="8">
        <f>IF('Model inputs'!B52="","",'Model inputs'!B52)</f>
        <v>150</v>
      </c>
      <c r="C500" s="8">
        <v>0</v>
      </c>
      <c r="D500" s="8">
        <f>IF('Model inputs'!D52="","",'Model inputs'!D52)</f>
        <v>350</v>
      </c>
      <c r="E500" s="8">
        <f>IF('Model inputs'!E52="","",'Model inputs'!E52)</f>
        <v>150</v>
      </c>
      <c r="F500" s="8">
        <f>IF('Model inputs'!F52="","",'Model inputs'!F52)</f>
        <v>150</v>
      </c>
      <c r="G500" s="8">
        <f>IF('Model inputs'!G52="","",'Model inputs'!G52)</f>
        <v>150</v>
      </c>
      <c r="H500" s="8">
        <f>IF('Model inputs'!H52="","",'Model inputs'!H52)</f>
        <v>150</v>
      </c>
      <c r="I500" s="8">
        <f>IF('Model inputs'!I52="","",'Model inputs'!I52)</f>
        <v>150</v>
      </c>
      <c r="J500" s="8">
        <f>IF('Model inputs'!J52="","",'Model inputs'!J52)</f>
        <v>150</v>
      </c>
      <c r="K500" s="8">
        <f>IF('Model inputs'!K52="","",'Model inputs'!K52)</f>
        <v>150</v>
      </c>
      <c r="L500" s="8">
        <f>IF('Model inputs'!L52="","",'Model inputs'!L52)</f>
        <v>150</v>
      </c>
      <c r="M500" s="8">
        <f>IF('Model inputs'!M52="","",'Model inputs'!M52)</f>
        <v>150</v>
      </c>
      <c r="N500" s="8">
        <f>IF('Model inputs'!N52="","",'Model inputs'!N52)</f>
        <v>150</v>
      </c>
    </row>
    <row r="501">
      <c r="A501" t="inlineStr" s="26">
        <is>
          <t xml:space="preserve">Overage price per verification</t>
        </is>
      </c>
      <c r="O501" s="19">
        <v>0</v>
      </c>
    </row>
    <row r="502" outlineLevel="1">
      <c r="A502" t="inlineStr" s="27">
        <is>
          <t xml:space="preserve">Overage price per verification &gt; Starter</t>
        </is>
      </c>
      <c r="O502" s="28">
        <f>'NeatRescue — Assumptions &amp; (2)'!E5</f>
        <v>0.1</v>
      </c>
    </row>
    <row r="503" outlineLevel="1">
      <c r="A503" t="inlineStr" s="27">
        <is>
          <t xml:space="preserve">Overage price per verification &gt; Team</t>
        </is>
      </c>
      <c r="O503" s="28">
        <f>'NeatRescue — Assumptions &amp; (2)'!E6</f>
        <v>0.1</v>
      </c>
    </row>
    <row r="504">
      <c r="A504" t="inlineStr" s="26">
        <is>
          <t xml:space="preserve">Overage price per verification</t>
        </is>
      </c>
      <c r="O504" s="19">
        <v>0</v>
      </c>
    </row>
    <row r="505" outlineLevel="1">
      <c r="A505" t="inlineStr" s="27">
        <is>
          <t xml:space="preserve">Overage price per verification &gt; Starter</t>
        </is>
      </c>
      <c r="O505" s="28">
        <f>'NeatRescue — Assumptions &amp; (2)'!E5</f>
        <v>0.1</v>
      </c>
    </row>
    <row r="506" outlineLevel="1">
      <c r="A506" t="inlineStr" s="27">
        <is>
          <t xml:space="preserve">Overage price per verification &gt; Team</t>
        </is>
      </c>
      <c r="O506" s="28">
        <f>'NeatRescue — Assumptions &amp; (2)'!E6</f>
        <v>0.1</v>
      </c>
    </row>
    <row r="507">
      <c r="A507" t="inlineStr" s="26">
        <is>
          <t xml:space="preserve">Payment processing expense</t>
        </is>
      </c>
      <c r="B507" s="16">
        <f>SUM('Model inputs'!B508,'Model inputs'!B509)</f>
        <v>0</v>
      </c>
      <c r="C507" s="16">
        <f>SUM('Model inputs'!C508,'Model inputs'!C509)</f>
        <v>0</v>
      </c>
      <c r="D507" s="16">
        <f>SUM('Model inputs'!D508,'Model inputs'!D509)</f>
        <v>0</v>
      </c>
      <c r="E507" s="16">
        <f>SUM('Model inputs'!E508,'Model inputs'!E509)</f>
        <v>0</v>
      </c>
      <c r="F507" s="16">
        <f>SUM('Model inputs'!F508,'Model inputs'!F509)</f>
        <v>0</v>
      </c>
      <c r="G507" s="16">
        <f>SUM('Model inputs'!G508,'Model inputs'!G509)</f>
        <v>0</v>
      </c>
      <c r="H507" s="16">
        <f>SUM('Model inputs'!H508,'Model inputs'!H509)</f>
        <v>0</v>
      </c>
      <c r="I507" s="16">
        <f>SUM('Model inputs'!I508,'Model inputs'!I509)</f>
        <v>0</v>
      </c>
      <c r="J507" s="16">
        <f>SUM('Model inputs'!J508,'Model inputs'!J509)</f>
        <v>0</v>
      </c>
      <c r="K507" s="16">
        <f>SUM('Model inputs'!K508,'Model inputs'!K509)</f>
        <v>0</v>
      </c>
      <c r="L507" s="16">
        <f>SUM('Model inputs'!L508,'Model inputs'!L509)</f>
        <v>0</v>
      </c>
      <c r="M507" s="16">
        <f>SUM('Model inputs'!M508,'Model inputs'!M509)</f>
        <v>0</v>
      </c>
      <c r="N507" s="16">
        <f>SUM('Model inputs'!N508,'Model inputs'!N509)</f>
        <v>0</v>
      </c>
    </row>
    <row r="508" outlineLevel="1">
      <c r="A508" t="inlineStr" s="27">
        <is>
          <t xml:space="preserve">Payment processing expense &gt; Starter</t>
        </is>
      </c>
      <c r="B508" s="8">
        <f>'Model inputs'!B250*'Model inputs'!O585</f>
        <v>0</v>
      </c>
      <c r="C508" s="8">
        <f>'Model inputs'!C293</f>
        <v>0</v>
      </c>
      <c r="D508" s="8">
        <f>'Model inputs'!D250*'Model inputs'!O585</f>
        <v>0</v>
      </c>
      <c r="E508" s="8">
        <f>'Model inputs'!E250*'Model inputs'!O585</f>
        <v>0</v>
      </c>
      <c r="F508" s="8">
        <f>'Model inputs'!F250*'Model inputs'!O585</f>
        <v>0</v>
      </c>
      <c r="G508" s="8">
        <f>'Model inputs'!G250*'Model inputs'!O585</f>
        <v>0</v>
      </c>
      <c r="H508" s="8">
        <f>'Model inputs'!H250*'Model inputs'!O585</f>
        <v>0</v>
      </c>
      <c r="I508" s="8">
        <f>'Model inputs'!I250*'Model inputs'!O585</f>
        <v>0</v>
      </c>
      <c r="J508" s="8">
        <f>'Model inputs'!J250*'Model inputs'!O585</f>
        <v>0</v>
      </c>
      <c r="K508" s="8">
        <f>'Model inputs'!K250*'Model inputs'!O585</f>
        <v>0</v>
      </c>
      <c r="L508" s="8">
        <f>'Model inputs'!L250*'Model inputs'!O585</f>
        <v>0</v>
      </c>
      <c r="M508" s="8">
        <f>'Model inputs'!M250*'Model inputs'!O585</f>
        <v>0</v>
      </c>
      <c r="N508" s="8">
        <f>'Model inputs'!N250*'Model inputs'!O585</f>
        <v>0</v>
      </c>
    </row>
    <row r="509" outlineLevel="1">
      <c r="A509" t="inlineStr" s="27">
        <is>
          <t xml:space="preserve">Payment processing expense &gt; Team</t>
        </is>
      </c>
      <c r="B509" s="8">
        <f>'Model inputs'!B251*'Model inputs'!O585</f>
        <v>0</v>
      </c>
      <c r="C509" s="8">
        <f>'Model inputs'!C294</f>
        <v>0</v>
      </c>
      <c r="D509" s="8">
        <f>'Model inputs'!D251*'Model inputs'!O585</f>
        <v>0</v>
      </c>
      <c r="E509" s="8">
        <f>'Model inputs'!E251*'Model inputs'!O585</f>
        <v>0</v>
      </c>
      <c r="F509" s="8">
        <f>'Model inputs'!F251*'Model inputs'!O585</f>
        <v>0</v>
      </c>
      <c r="G509" s="8">
        <f>'Model inputs'!G251*'Model inputs'!O585</f>
        <v>0</v>
      </c>
      <c r="H509" s="8">
        <f>'Model inputs'!H251*'Model inputs'!O585</f>
        <v>0</v>
      </c>
      <c r="I509" s="8">
        <f>'Model inputs'!I251*'Model inputs'!O585</f>
        <v>0</v>
      </c>
      <c r="J509" s="8">
        <f>'Model inputs'!J251*'Model inputs'!O585</f>
        <v>0</v>
      </c>
      <c r="K509" s="8">
        <f>'Model inputs'!K251*'Model inputs'!O585</f>
        <v>0</v>
      </c>
      <c r="L509" s="8">
        <f>'Model inputs'!L251*'Model inputs'!O585</f>
        <v>0</v>
      </c>
      <c r="M509" s="8">
        <f>'Model inputs'!M251*'Model inputs'!O585</f>
        <v>0</v>
      </c>
      <c r="N509" s="8">
        <f>'Model inputs'!N251*'Model inputs'!O585</f>
        <v>0</v>
      </c>
    </row>
    <row r="510">
      <c r="A510" t="inlineStr" s="26">
        <is>
          <t xml:space="preserve">Payment processing expense</t>
        </is>
      </c>
      <c r="B510" s="16">
        <f>SUM('Model inputs'!B511,'Model inputs'!B512)</f>
        <v>498.2356286591749</v>
      </c>
      <c r="C510" s="16">
        <f>SUM('Model inputs'!C511,'Model inputs'!C512)</f>
        <v>0</v>
      </c>
      <c r="D510" s="16">
        <f>SUM('Model inputs'!D511,'Model inputs'!D512)</f>
        <v>19.259999999999998</v>
      </c>
      <c r="E510" s="16">
        <f>SUM('Model inputs'!E511,'Model inputs'!E512)</f>
        <v>40.831199999999995</v>
      </c>
      <c r="F510" s="16">
        <f>SUM('Model inputs'!F511,'Model inputs'!F512)</f>
        <v>65.077614</v>
      </c>
      <c r="G510" s="16">
        <f>SUM('Model inputs'!G511,'Model inputs'!G512)</f>
        <v>92.41733807999998</v>
      </c>
      <c r="H510" s="16">
        <f>SUM('Model inputs'!H511,'Model inputs'!H512)</f>
        <v>123.33067831259997</v>
      </c>
      <c r="I510" s="16">
        <f>SUM('Model inputs'!I511,'Model inputs'!I512)</f>
        <v>158.36949739447195</v>
      </c>
      <c r="J510" s="16">
        <f>SUM('Model inputs'!J511,'Model inputs'!J512)</f>
        <v>198.16796281857532</v>
      </c>
      <c r="K510" s="16">
        <f>SUM('Model inputs'!K511,'Model inputs'!K512)</f>
        <v>243.45490683184616</v>
      </c>
      <c r="L510" s="16">
        <f>SUM('Model inputs'!L511,'Model inputs'!L512)</f>
        <v>295.06803995939305</v>
      </c>
      <c r="M510" s="16">
        <f>SUM('Model inputs'!M511,'Model inputs'!M512)</f>
        <v>353.9702961429889</v>
      </c>
      <c r="N510" s="16">
        <f>SUM('Model inputs'!N511,'Model inputs'!N512)</f>
        <v>421.2686292484335</v>
      </c>
    </row>
    <row r="511" outlineLevel="1">
      <c r="A511" t="inlineStr" s="27">
        <is>
          <t xml:space="preserve">Payment processing expense &gt; Starter</t>
        </is>
      </c>
      <c r="B511" s="8">
        <f>'Model inputs'!B65*'Model inputs'!O586</f>
        <v>158.31786331226118</v>
      </c>
      <c r="C511" s="8">
        <f>'Model inputs'!C293</f>
        <v>0</v>
      </c>
      <c r="D511" s="8">
        <f>'Model inputs'!D65*'Model inputs'!O586</f>
        <v>6.12</v>
      </c>
      <c r="E511" s="8">
        <f>'Model inputs'!E65*'Model inputs'!O586</f>
        <v>12.9744</v>
      </c>
      <c r="F511" s="8">
        <f>'Model inputs'!F65*'Model inputs'!O586</f>
        <v>20.678867999999998</v>
      </c>
      <c r="G511" s="8">
        <f>'Model inputs'!G65*'Model inputs'!O586</f>
        <v>29.366256959999994</v>
      </c>
      <c r="H511" s="8">
        <f>'Model inputs'!H65*'Model inputs'!O586</f>
        <v>39.189187501199996</v>
      </c>
      <c r="I511" s="8">
        <f>'Model inputs'!I65*'Model inputs'!O586</f>
        <v>50.323017863663985</v>
      </c>
      <c r="J511" s="8">
        <f>'Model inputs'!J65*'Model inputs'!O586</f>
        <v>62.96925921337907</v>
      </c>
      <c r="K511" s="8">
        <f>'Model inputs'!K65*'Model inputs'!O586</f>
        <v>77.35950310544644</v>
      </c>
      <c r="L511" s="8">
        <f>'Model inputs'!L65*'Model inputs'!O586</f>
        <v>93.7599379310221</v>
      </c>
      <c r="M511" s="8">
        <f>'Model inputs'!M65*'Model inputs'!O586</f>
        <v>112.47654269964133</v>
      </c>
      <c r="N511" s="8">
        <f>'Model inputs'!N65*'Model inputs'!O586</f>
        <v>133.86105976118446</v>
      </c>
    </row>
    <row r="512" outlineLevel="1">
      <c r="A512" t="inlineStr" s="27">
        <is>
          <t xml:space="preserve">Payment processing expense &gt; Team</t>
        </is>
      </c>
      <c r="B512" s="8">
        <f>'Model inputs'!B66*'Model inputs'!O586</f>
        <v>339.9177653469137</v>
      </c>
      <c r="C512" s="8">
        <f>'Model inputs'!C294</f>
        <v>0</v>
      </c>
      <c r="D512" s="8">
        <f>'Model inputs'!D66*'Model inputs'!O586</f>
        <v>13.139999999999999</v>
      </c>
      <c r="E512" s="8">
        <f>'Model inputs'!E66*'Model inputs'!O586</f>
        <v>27.856799999999996</v>
      </c>
      <c r="F512" s="8">
        <f>'Model inputs'!F66*'Model inputs'!O586</f>
        <v>44.398745999999996</v>
      </c>
      <c r="G512" s="8">
        <f>'Model inputs'!G66*'Model inputs'!O586</f>
        <v>63.05108111999999</v>
      </c>
      <c r="H512" s="8">
        <f>'Model inputs'!H66*'Model inputs'!O586</f>
        <v>84.14149081139998</v>
      </c>
      <c r="I512" s="8">
        <f>'Model inputs'!I66*'Model inputs'!O586</f>
        <v>108.04647953080797</v>
      </c>
      <c r="J512" s="8">
        <f>'Model inputs'!J66*'Model inputs'!O586</f>
        <v>135.19870360519624</v>
      </c>
      <c r="K512" s="8">
        <f>'Model inputs'!K66*'Model inputs'!O586</f>
        <v>166.09540372639972</v>
      </c>
      <c r="L512" s="8">
        <f>'Model inputs'!L66*'Model inputs'!O586</f>
        <v>201.30810202837097</v>
      </c>
      <c r="M512" s="8">
        <f>'Model inputs'!M66*'Model inputs'!O586</f>
        <v>241.4937534433476</v>
      </c>
      <c r="N512" s="8">
        <f>'Model inputs'!N66*'Model inputs'!O586</f>
        <v>287.407569487249</v>
      </c>
    </row>
    <row r="513">
      <c r="A513" t="inlineStr" s="26">
        <is>
          <t xml:space="preserve">Payment processing expense</t>
        </is>
      </c>
      <c r="B513" s="16">
        <f>SUM('Model inputs'!B514,'Model inputs'!B515)</f>
        <v>166.79598415754705</v>
      </c>
      <c r="C513" s="16">
        <f>SUM('Model inputs'!C514,'Model inputs'!C515)</f>
        <v>0</v>
      </c>
      <c r="D513" s="16">
        <f>SUM('Model inputs'!D514,'Model inputs'!D515)</f>
        <v>9.629999999999999</v>
      </c>
      <c r="E513" s="16">
        <f>SUM('Model inputs'!E514,'Model inputs'!E515)</f>
        <v>19.741500000000002</v>
      </c>
      <c r="F513" s="16">
        <f>SUM('Model inputs'!F514,'Model inputs'!F515)</f>
        <v>30.406725</v>
      </c>
      <c r="G513" s="16">
        <f>SUM('Model inputs'!G514,'Model inputs'!G515)</f>
        <v>41.703918750000014</v>
      </c>
      <c r="H513" s="16">
        <f>SUM('Model inputs'!H514,'Model inputs'!H515)</f>
        <v>53.71800581250001</v>
      </c>
      <c r="I513" s="16">
        <f>SUM('Model inputs'!I514,'Model inputs'!I515)</f>
        <v>66.54131682187501</v>
      </c>
      <c r="J513" s="16">
        <f>SUM('Model inputs'!J514,'Model inputs'!J515)</f>
        <v>80.27438341078127</v>
      </c>
      <c r="K513" s="16">
        <f>SUM('Model inputs'!K514,'Model inputs'!K515)</f>
        <v>95.02680991324223</v>
      </c>
      <c r="L513" s="16">
        <f>SUM('Model inputs'!L514,'Model inputs'!L515)</f>
        <v>110.91822965788012</v>
      </c>
      <c r="M513" s="16">
        <f>SUM('Model inputs'!M514,'Model inputs'!M515)</f>
        <v>128.07935443931615</v>
      </c>
      <c r="N513" s="16">
        <f>SUM('Model inputs'!N514,'Model inputs'!N515)</f>
        <v>146.65312660811338</v>
      </c>
    </row>
    <row r="514" outlineLevel="1">
      <c r="A514" t="inlineStr" s="27">
        <is>
          <t xml:space="preserve">Payment processing expense &gt; Starter</t>
        </is>
      </c>
      <c r="B514" s="8">
        <f>'Model inputs'!B253*'Model inputs'!O587</f>
        <v>53.00059309679065</v>
      </c>
      <c r="C514" s="8">
        <f>'Model inputs'!C293</f>
        <v>0</v>
      </c>
      <c r="D514" s="8">
        <f>'Model inputs'!D253*'Model inputs'!O587</f>
        <v>3.06</v>
      </c>
      <c r="E514" s="8">
        <f>'Model inputs'!E253*'Model inputs'!O587</f>
        <v>6.273000000000001</v>
      </c>
      <c r="F514" s="8">
        <f>'Model inputs'!F253*'Model inputs'!O587</f>
        <v>9.661950000000001</v>
      </c>
      <c r="G514" s="8">
        <f>'Model inputs'!G253*'Model inputs'!O587</f>
        <v>13.251712500000004</v>
      </c>
      <c r="H514" s="8">
        <f>'Model inputs'!H253*'Model inputs'!O587</f>
        <v>17.069272875000003</v>
      </c>
      <c r="I514" s="8">
        <f>'Model inputs'!I253*'Model inputs'!O587</f>
        <v>21.143969831250008</v>
      </c>
      <c r="J514" s="8">
        <f>'Model inputs'!J253*'Model inputs'!O587</f>
        <v>25.507747999687506</v>
      </c>
      <c r="K514" s="8">
        <f>'Model inputs'!K253*'Model inputs'!O587</f>
        <v>30.19543492570314</v>
      </c>
      <c r="L514" s="8">
        <f>'Model inputs'!L253*'Model inputs'!O587</f>
        <v>35.24504493801799</v>
      </c>
      <c r="M514" s="8">
        <f>'Model inputs'!M253*'Model inputs'!O587</f>
        <v>40.698112625577096</v>
      </c>
      <c r="N514" s="8">
        <f>'Model inputs'!N253*'Model inputs'!O587</f>
        <v>46.60005892220425</v>
      </c>
    </row>
    <row r="515" outlineLevel="1">
      <c r="A515" t="inlineStr" s="27">
        <is>
          <t xml:space="preserve">Payment processing expense &gt; Team</t>
        </is>
      </c>
      <c r="B515" s="8">
        <f>'Model inputs'!B254*'Model inputs'!O587</f>
        <v>113.7953910607564</v>
      </c>
      <c r="C515" s="8">
        <f>'Model inputs'!C294</f>
        <v>0</v>
      </c>
      <c r="D515" s="8">
        <f>'Model inputs'!D254*'Model inputs'!O587</f>
        <v>6.569999999999999</v>
      </c>
      <c r="E515" s="8">
        <f>'Model inputs'!E254*'Model inputs'!O587</f>
        <v>13.4685</v>
      </c>
      <c r="F515" s="8">
        <f>'Model inputs'!F254*'Model inputs'!O587</f>
        <v>20.744775</v>
      </c>
      <c r="G515" s="8">
        <f>'Model inputs'!G254*'Model inputs'!O587</f>
        <v>28.45220625000001</v>
      </c>
      <c r="H515" s="8">
        <f>'Model inputs'!H254*'Model inputs'!O587</f>
        <v>36.64873293750001</v>
      </c>
      <c r="I515" s="8">
        <f>'Model inputs'!I254*'Model inputs'!O587</f>
        <v>45.39734699062501</v>
      </c>
      <c r="J515" s="8">
        <f>'Model inputs'!J254*'Model inputs'!O587</f>
        <v>54.76663541109376</v>
      </c>
      <c r="K515" s="8">
        <f>'Model inputs'!K254*'Model inputs'!O587</f>
        <v>64.83137498753909</v>
      </c>
      <c r="L515" s="8">
        <f>'Model inputs'!L254*'Model inputs'!O587</f>
        <v>75.67318471986214</v>
      </c>
      <c r="M515" s="8">
        <f>'Model inputs'!M254*'Model inputs'!O587</f>
        <v>87.38124181373904</v>
      </c>
      <c r="N515" s="8">
        <f>'Model inputs'!N254*'Model inputs'!O587</f>
        <v>100.05306768590913</v>
      </c>
    </row>
    <row r="516">
      <c r="A516" t="inlineStr" s="26">
        <is>
          <t xml:space="preserve">Payment processing expense</t>
        </is>
      </c>
      <c r="B516" s="16">
        <f>SUM('Model inputs'!B517,'Model inputs'!B518)</f>
        <v>30.516407260767174</v>
      </c>
      <c r="C516" s="16">
        <f>SUM('Model inputs'!C517,'Model inputs'!C518)</f>
        <v>0</v>
      </c>
      <c r="D516" s="16">
        <f>SUM('Model inputs'!D517,'Model inputs'!D518)</f>
        <v>3.1725</v>
      </c>
      <c r="E516" s="16">
        <f>SUM('Model inputs'!E517,'Model inputs'!E518)</f>
        <v>6.186375</v>
      </c>
      <c r="F516" s="16">
        <f>SUM('Model inputs'!F517,'Model inputs'!F518)</f>
        <v>9.057170250000002</v>
      </c>
      <c r="G516" s="16">
        <f>SUM('Model inputs'!G517,'Model inputs'!G518)</f>
        <v>11.7992730375</v>
      </c>
      <c r="H516" s="16">
        <f>SUM('Model inputs'!H517,'Model inputs'!H518)</f>
        <v>14.426007894225002</v>
      </c>
      <c r="I516" s="16">
        <f>SUM('Model inputs'!I517,'Model inputs'!I518)</f>
        <v>16.949724263403752</v>
      </c>
      <c r="J516" s="16">
        <f>SUM('Model inputs'!J517,'Model inputs'!J518)</f>
        <v>19.3818772330697</v>
      </c>
      <c r="K516" s="16">
        <f>SUM('Model inputs'!K517,'Model inputs'!K518)</f>
        <v>21.733101892484527</v>
      </c>
      <c r="L516" s="16">
        <f>SUM('Model inputs'!L517,'Model inputs'!L518)</f>
        <v>24.013281824287976</v>
      </c>
      <c r="M516" s="16">
        <f>SUM('Model inputs'!M517,'Model inputs'!M518)</f>
        <v>26.23161220404322</v>
      </c>
      <c r="N516" s="16">
        <f>SUM('Model inputs'!N517,'Model inputs'!N518)</f>
        <v>28.396657941188984</v>
      </c>
    </row>
    <row r="517" outlineLevel="1">
      <c r="A517" t="inlineStr" s="27">
        <is>
          <t xml:space="preserve">Payment processing expense &gt; Starter</t>
        </is>
      </c>
      <c r="B517" s="8">
        <f>'Model inputs'!B70*'Model inputs'!O588</f>
        <v>14.717132579660765</v>
      </c>
      <c r="C517" s="8">
        <f>'Model inputs'!C293</f>
        <v>0</v>
      </c>
      <c r="D517" s="8">
        <f>'Model inputs'!D70*'Model inputs'!O588</f>
        <v>1.53</v>
      </c>
      <c r="E517" s="8">
        <f>'Model inputs'!E70*'Model inputs'!O588</f>
        <v>2.9835000000000003</v>
      </c>
      <c r="F517" s="8">
        <f>'Model inputs'!F70*'Model inputs'!O588</f>
        <v>4.367997000000001</v>
      </c>
      <c r="G517" s="8">
        <f>'Model inputs'!G70*'Model inputs'!O588</f>
        <v>5.69042955</v>
      </c>
      <c r="H517" s="8">
        <f>'Model inputs'!H70*'Model inputs'!O588</f>
        <v>6.957223665300001</v>
      </c>
      <c r="I517" s="8">
        <f>'Model inputs'!I70*'Model inputs'!O588</f>
        <v>8.174335105755</v>
      </c>
      <c r="J517" s="8">
        <f>'Model inputs'!J70*'Model inputs'!O588</f>
        <v>9.347288310983972</v>
      </c>
      <c r="K517" s="8">
        <f>'Model inputs'!K70*'Model inputs'!O588</f>
        <v>10.481212260205302</v>
      </c>
      <c r="L517" s="8">
        <f>'Model inputs'!L70*'Model inputs'!O588</f>
        <v>11.580873503911931</v>
      </c>
      <c r="M517" s="8">
        <f>'Model inputs'!M70*'Model inputs'!O588</f>
        <v>12.650706594857724</v>
      </c>
      <c r="N517" s="8">
        <f>'Model inputs'!N70*'Model inputs'!O588</f>
        <v>13.694842127665611</v>
      </c>
    </row>
    <row r="518" outlineLevel="1">
      <c r="A518" t="inlineStr" s="27">
        <is>
          <t xml:space="preserve">Payment processing expense &gt; Team</t>
        </is>
      </c>
      <c r="B518" s="8">
        <f>'Model inputs'!B71*'Model inputs'!O588</f>
        <v>15.799274681106409</v>
      </c>
      <c r="C518" s="8">
        <f>'Model inputs'!C294</f>
        <v>0</v>
      </c>
      <c r="D518" s="8">
        <f>'Model inputs'!D71*'Model inputs'!O588</f>
        <v>1.6424999999999998</v>
      </c>
      <c r="E518" s="8">
        <f>'Model inputs'!E71*'Model inputs'!O588</f>
        <v>3.202875</v>
      </c>
      <c r="F518" s="8">
        <f>'Model inputs'!F71*'Model inputs'!O588</f>
        <v>4.6891732500000005</v>
      </c>
      <c r="G518" s="8">
        <f>'Model inputs'!G71*'Model inputs'!O588</f>
        <v>6.1088434875</v>
      </c>
      <c r="H518" s="8">
        <f>'Model inputs'!H71*'Model inputs'!O588</f>
        <v>7.468784228925001</v>
      </c>
      <c r="I518" s="8">
        <f>'Model inputs'!I71*'Model inputs'!O588</f>
        <v>8.77538915764875</v>
      </c>
      <c r="J518" s="8">
        <f>'Model inputs'!J71*'Model inputs'!O588</f>
        <v>10.034588922085732</v>
      </c>
      <c r="K518" s="8">
        <f>'Model inputs'!K71*'Model inputs'!O588</f>
        <v>11.251889632279223</v>
      </c>
      <c r="L518" s="8">
        <f>'Model inputs'!L71*'Model inputs'!O588</f>
        <v>12.432408320376044</v>
      </c>
      <c r="M518" s="8">
        <f>'Model inputs'!M71*'Model inputs'!O588</f>
        <v>13.580905609185496</v>
      </c>
      <c r="N518" s="8">
        <f>'Model inputs'!N71*'Model inputs'!O588</f>
        <v>14.701815813523375</v>
      </c>
    </row>
    <row r="519">
      <c r="A519" t="inlineStr" s="26">
        <is>
          <t xml:space="preserve">Variable compute expense</t>
        </is>
      </c>
      <c r="B519" s="16">
        <f>SUM('Model inputs'!B520,'Model inputs'!B521)</f>
        <v>0</v>
      </c>
      <c r="C519" s="16">
        <f>SUM('Model inputs'!C520,'Model inputs'!C521)</f>
        <v>0</v>
      </c>
      <c r="D519" s="16">
        <f>SUM('Model inputs'!D520,'Model inputs'!D521)</f>
        <v>0</v>
      </c>
      <c r="E519" s="16">
        <f>SUM('Model inputs'!E520,'Model inputs'!E521)</f>
        <v>0</v>
      </c>
      <c r="F519" s="16">
        <f>SUM('Model inputs'!F520,'Model inputs'!F521)</f>
        <v>0</v>
      </c>
      <c r="G519" s="16">
        <f>SUM('Model inputs'!G520,'Model inputs'!G521)</f>
        <v>0</v>
      </c>
      <c r="H519" s="16">
        <f>SUM('Model inputs'!H520,'Model inputs'!H521)</f>
        <v>0</v>
      </c>
      <c r="I519" s="16">
        <f>SUM('Model inputs'!I520,'Model inputs'!I521)</f>
        <v>0</v>
      </c>
      <c r="J519" s="16">
        <f>SUM('Model inputs'!J520,'Model inputs'!J521)</f>
        <v>0</v>
      </c>
      <c r="K519" s="16">
        <f>SUM('Model inputs'!K520,'Model inputs'!K521)</f>
        <v>0</v>
      </c>
      <c r="L519" s="16">
        <f>SUM('Model inputs'!L520,'Model inputs'!L521)</f>
        <v>0</v>
      </c>
      <c r="M519" s="16">
        <f>SUM('Model inputs'!M520,'Model inputs'!M521)</f>
        <v>0</v>
      </c>
      <c r="N519" s="16">
        <f>SUM('Model inputs'!N520,'Model inputs'!N521)</f>
        <v>0</v>
      </c>
    </row>
    <row r="520" outlineLevel="1">
      <c r="A520" t="inlineStr" s="27">
        <is>
          <t xml:space="preserve">Variable compute expense &gt; Starter</t>
        </is>
      </c>
      <c r="B520" s="8">
        <f>'Model inputs'!B562*'Model inputs'!O573</f>
        <v>0</v>
      </c>
      <c r="C520" s="8">
        <f>'Model inputs'!C296</f>
        <v>0</v>
      </c>
      <c r="D520" s="8">
        <f>'Model inputs'!D562*'Model inputs'!O573</f>
        <v>0</v>
      </c>
      <c r="E520" s="8">
        <f>'Model inputs'!E562*'Model inputs'!O573</f>
        <v>0</v>
      </c>
      <c r="F520" s="8">
        <f>'Model inputs'!F562*'Model inputs'!O573</f>
        <v>0</v>
      </c>
      <c r="G520" s="8">
        <f>'Model inputs'!G562*'Model inputs'!O573</f>
        <v>0</v>
      </c>
      <c r="H520" s="8">
        <f>'Model inputs'!H562*'Model inputs'!O573</f>
        <v>0</v>
      </c>
      <c r="I520" s="8">
        <f>'Model inputs'!I562*'Model inputs'!O573</f>
        <v>0</v>
      </c>
      <c r="J520" s="8">
        <f>'Model inputs'!J562*'Model inputs'!O573</f>
        <v>0</v>
      </c>
      <c r="K520" s="8">
        <f>'Model inputs'!K562*'Model inputs'!O573</f>
        <v>0</v>
      </c>
      <c r="L520" s="8">
        <f>'Model inputs'!L562*'Model inputs'!O573</f>
        <v>0</v>
      </c>
      <c r="M520" s="8">
        <f>'Model inputs'!M562*'Model inputs'!O573</f>
        <v>0</v>
      </c>
      <c r="N520" s="8">
        <f>'Model inputs'!N562*'Model inputs'!O573</f>
        <v>0</v>
      </c>
    </row>
    <row r="521" outlineLevel="1">
      <c r="A521" t="inlineStr" s="27">
        <is>
          <t xml:space="preserve">Variable compute expense &gt; Team</t>
        </is>
      </c>
      <c r="B521" s="8">
        <f>'Model inputs'!B563*'Model inputs'!O573</f>
        <v>0</v>
      </c>
      <c r="C521" s="8">
        <f>'Model inputs'!C297</f>
        <v>0</v>
      </c>
      <c r="D521" s="8">
        <f>'Model inputs'!D563*'Model inputs'!O573</f>
        <v>0</v>
      </c>
      <c r="E521" s="8">
        <f>'Model inputs'!E563*'Model inputs'!O573</f>
        <v>0</v>
      </c>
      <c r="F521" s="8">
        <f>'Model inputs'!F563*'Model inputs'!O573</f>
        <v>0</v>
      </c>
      <c r="G521" s="8">
        <f>'Model inputs'!G563*'Model inputs'!O573</f>
        <v>0</v>
      </c>
      <c r="H521" s="8">
        <f>'Model inputs'!H563*'Model inputs'!O573</f>
        <v>0</v>
      </c>
      <c r="I521" s="8">
        <f>'Model inputs'!I563*'Model inputs'!O573</f>
        <v>0</v>
      </c>
      <c r="J521" s="8">
        <f>'Model inputs'!J563*'Model inputs'!O573</f>
        <v>0</v>
      </c>
      <c r="K521" s="8">
        <f>'Model inputs'!K563*'Model inputs'!O573</f>
        <v>0</v>
      </c>
      <c r="L521" s="8">
        <f>'Model inputs'!L563*'Model inputs'!O573</f>
        <v>0</v>
      </c>
      <c r="M521" s="8">
        <f>'Model inputs'!M563*'Model inputs'!O573</f>
        <v>0</v>
      </c>
      <c r="N521" s="8">
        <f>'Model inputs'!N563*'Model inputs'!O573</f>
        <v>0</v>
      </c>
    </row>
    <row r="522">
      <c r="A522" t="inlineStr" s="26">
        <is>
          <t xml:space="preserve">Variable compute expense</t>
        </is>
      </c>
      <c r="B522" s="16">
        <f>SUM('Model inputs'!B523,'Model inputs'!B524)</f>
        <v>807.1106757095669</v>
      </c>
      <c r="C522" s="16">
        <f>SUM('Model inputs'!C523,'Model inputs'!C524)</f>
        <v>0</v>
      </c>
      <c r="D522" s="16">
        <f>SUM('Model inputs'!D523,'Model inputs'!D524)</f>
        <v>31.2</v>
      </c>
      <c r="E522" s="16">
        <f>SUM('Model inputs'!E523,'Model inputs'!E524)</f>
        <v>66.14399999999999</v>
      </c>
      <c r="F522" s="16">
        <f>SUM('Model inputs'!F523,'Model inputs'!F524)</f>
        <v>105.42168</v>
      </c>
      <c r="G522" s="16">
        <f>SUM('Model inputs'!G523,'Model inputs'!G524)</f>
        <v>149.71032959999997</v>
      </c>
      <c r="H522" s="16">
        <f>SUM('Model inputs'!H523,'Model inputs'!H524)</f>
        <v>199.78801471199998</v>
      </c>
      <c r="I522" s="16">
        <f>SUM('Model inputs'!I523,'Model inputs'!I524)</f>
        <v>256.5487185206399</v>
      </c>
      <c r="J522" s="16">
        <f>SUM('Model inputs'!J523,'Model inputs'!J524)</f>
        <v>321.0197528525207</v>
      </c>
      <c r="K522" s="16">
        <f>SUM('Model inputs'!K523,'Model inputs'!K524)</f>
        <v>394.3817805375701</v>
      </c>
      <c r="L522" s="16">
        <f>SUM('Model inputs'!L523,'Model inputs'!L524)</f>
        <v>477.99184043266166</v>
      </c>
      <c r="M522" s="16">
        <f>SUM('Model inputs'!M523,'Model inputs'!M524)</f>
        <v>573.4098255275833</v>
      </c>
      <c r="N522" s="16">
        <f>SUM('Model inputs'!N523,'Model inputs'!N524)</f>
        <v>682.4289321158424</v>
      </c>
    </row>
    <row r="523" outlineLevel="1">
      <c r="A523" t="inlineStr" s="27">
        <is>
          <t xml:space="preserve">Variable compute expense &gt; Starter</t>
        </is>
      </c>
      <c r="B523" s="8">
        <f>'Model inputs'!B565*'Model inputs'!O574</f>
        <v>186.25630977913082</v>
      </c>
      <c r="C523" s="8">
        <f>'Model inputs'!C296</f>
        <v>0</v>
      </c>
      <c r="D523" s="8">
        <f>'Model inputs'!D565*'Model inputs'!O574</f>
        <v>7.199999999999999</v>
      </c>
      <c r="E523" s="8">
        <f>'Model inputs'!E565*'Model inputs'!O574</f>
        <v>15.264</v>
      </c>
      <c r="F523" s="8">
        <f>'Model inputs'!F565*'Model inputs'!O574</f>
        <v>24.328079999999996</v>
      </c>
      <c r="G523" s="8">
        <f>'Model inputs'!G565*'Model inputs'!O574</f>
        <v>34.548537599999996</v>
      </c>
      <c r="H523" s="8">
        <f>'Model inputs'!H565*'Model inputs'!O574</f>
        <v>46.104926471999995</v>
      </c>
      <c r="I523" s="8">
        <f>'Model inputs'!I565*'Model inputs'!O574</f>
        <v>59.203550427839986</v>
      </c>
      <c r="J523" s="8">
        <f>'Model inputs'!J565*'Model inputs'!O574</f>
        <v>74.08148142750478</v>
      </c>
      <c r="K523" s="8">
        <f>'Model inputs'!K565*'Model inputs'!O574</f>
        <v>91.01118012405462</v>
      </c>
      <c r="L523" s="8">
        <f>'Model inputs'!L565*'Model inputs'!O574</f>
        <v>110.30580933061422</v>
      </c>
      <c r="M523" s="8">
        <f>'Model inputs'!M565*'Model inputs'!O574</f>
        <v>132.32534435251924</v>
      </c>
      <c r="N523" s="8">
        <f>'Model inputs'!N565*'Model inputs'!O574</f>
        <v>157.48359971904054</v>
      </c>
    </row>
    <row r="524" outlineLevel="1">
      <c r="A524" t="inlineStr" s="27">
        <is>
          <t xml:space="preserve">Variable compute expense &gt; Team</t>
        </is>
      </c>
      <c r="B524" s="8">
        <f>'Model inputs'!B566*'Model inputs'!O574</f>
        <v>620.8543659304361</v>
      </c>
      <c r="C524" s="8">
        <f>'Model inputs'!C297</f>
        <v>0</v>
      </c>
      <c r="D524" s="8">
        <f>'Model inputs'!D566*'Model inputs'!O574</f>
        <v>24</v>
      </c>
      <c r="E524" s="8">
        <f>'Model inputs'!E566*'Model inputs'!O574</f>
        <v>50.879999999999995</v>
      </c>
      <c r="F524" s="8">
        <f>'Model inputs'!F566*'Model inputs'!O574</f>
        <v>81.0936</v>
      </c>
      <c r="G524" s="8">
        <f>'Model inputs'!G566*'Model inputs'!O574</f>
        <v>115.16179199999998</v>
      </c>
      <c r="H524" s="8">
        <f>'Model inputs'!H566*'Model inputs'!O574</f>
        <v>153.68308824</v>
      </c>
      <c r="I524" s="8">
        <f>'Model inputs'!I566*'Model inputs'!O574</f>
        <v>197.34516809279995</v>
      </c>
      <c r="J524" s="8">
        <f>'Model inputs'!J566*'Model inputs'!O574</f>
        <v>246.9382714250159</v>
      </c>
      <c r="K524" s="8">
        <f>'Model inputs'!K566*'Model inputs'!O574</f>
        <v>303.37060041351543</v>
      </c>
      <c r="L524" s="8">
        <f>'Model inputs'!L566*'Model inputs'!O574</f>
        <v>367.6860311020474</v>
      </c>
      <c r="M524" s="8">
        <f>'Model inputs'!M566*'Model inputs'!O574</f>
        <v>441.08448117506407</v>
      </c>
      <c r="N524" s="8">
        <f>'Model inputs'!N566*'Model inputs'!O574</f>
        <v>524.9453323968019</v>
      </c>
    </row>
    <row r="525">
      <c r="A525" t="inlineStr" s="26">
        <is>
          <t xml:space="preserve">Variable compute expense</t>
        </is>
      </c>
      <c r="B525" s="16">
        <f>SUM('Model inputs'!B526,'Model inputs'!B527)</f>
        <v>270.19910206207</v>
      </c>
      <c r="C525" s="16">
        <f>SUM('Model inputs'!C526,'Model inputs'!C527)</f>
        <v>0</v>
      </c>
      <c r="D525" s="16">
        <f>SUM('Model inputs'!D526,'Model inputs'!D527)</f>
        <v>15.6</v>
      </c>
      <c r="E525" s="16">
        <f>SUM('Model inputs'!E526,'Model inputs'!E527)</f>
        <v>31.980000000000004</v>
      </c>
      <c r="F525" s="16">
        <f>SUM('Model inputs'!F526,'Model inputs'!F527)</f>
        <v>49.25700000000001</v>
      </c>
      <c r="G525" s="16">
        <f>SUM('Model inputs'!G526,'Model inputs'!G527)</f>
        <v>67.55775000000001</v>
      </c>
      <c r="H525" s="16">
        <f>SUM('Model inputs'!H526,'Model inputs'!H527)</f>
        <v>87.01982250000003</v>
      </c>
      <c r="I525" s="16">
        <f>SUM('Model inputs'!I526,'Model inputs'!I527)</f>
        <v>107.79278737500005</v>
      </c>
      <c r="J525" s="16">
        <f>SUM('Model inputs'!J526,'Model inputs'!J527)</f>
        <v>130.03949960625002</v>
      </c>
      <c r="K525" s="16">
        <f>SUM('Model inputs'!K526,'Model inputs'!K527)</f>
        <v>153.93751138593757</v>
      </c>
      <c r="L525" s="16">
        <f>SUM('Model inputs'!L526,'Model inputs'!L527)</f>
        <v>179.68062125264072</v>
      </c>
      <c r="M525" s="16">
        <f>SUM('Model inputs'!M526,'Model inputs'!M527)</f>
        <v>207.4805741696087</v>
      </c>
      <c r="N525" s="16">
        <f>SUM('Model inputs'!N526,'Model inputs'!N527)</f>
        <v>237.56892783868832</v>
      </c>
    </row>
    <row r="526" outlineLevel="1">
      <c r="A526" t="inlineStr" s="27">
        <is>
          <t xml:space="preserve">Variable compute expense &gt; Starter</t>
        </is>
      </c>
      <c r="B526" s="8">
        <f>'Model inputs'!B568*'Model inputs'!O575</f>
        <v>62.35363893740077</v>
      </c>
      <c r="C526" s="8">
        <f>'Model inputs'!C296</f>
        <v>0</v>
      </c>
      <c r="D526" s="8">
        <f>'Model inputs'!D568*'Model inputs'!O575</f>
        <v>3.5999999999999996</v>
      </c>
      <c r="E526" s="8">
        <f>'Model inputs'!E568*'Model inputs'!O575</f>
        <v>7.380000000000001</v>
      </c>
      <c r="F526" s="8">
        <f>'Model inputs'!F568*'Model inputs'!O575</f>
        <v>11.367000000000003</v>
      </c>
      <c r="G526" s="8">
        <f>'Model inputs'!G568*'Model inputs'!O575</f>
        <v>15.590250000000005</v>
      </c>
      <c r="H526" s="8">
        <f>'Model inputs'!H568*'Model inputs'!O575</f>
        <v>20.081497500000005</v>
      </c>
      <c r="I526" s="8">
        <f>'Model inputs'!I568*'Model inputs'!O575</f>
        <v>24.875258625000008</v>
      </c>
      <c r="J526" s="8">
        <f>'Model inputs'!J568*'Model inputs'!O575</f>
        <v>30.009115293750007</v>
      </c>
      <c r="K526" s="8">
        <f>'Model inputs'!K568*'Model inputs'!O575</f>
        <v>35.524041089062514</v>
      </c>
      <c r="L526" s="8">
        <f>'Model inputs'!L568*'Model inputs'!O575</f>
        <v>41.4647587506094</v>
      </c>
      <c r="M526" s="8">
        <f>'Model inputs'!M568*'Model inputs'!O575</f>
        <v>47.88013250067893</v>
      </c>
      <c r="N526" s="8">
        <f>'Model inputs'!N568*'Model inputs'!O575</f>
        <v>54.823598732004996</v>
      </c>
    </row>
    <row r="527" outlineLevel="1">
      <c r="A527" t="inlineStr" s="27">
        <is>
          <t xml:space="preserve">Variable compute expense &gt; Team</t>
        </is>
      </c>
      <c r="B527" s="8">
        <f>'Model inputs'!B569*'Model inputs'!O575</f>
        <v>207.84546312466924</v>
      </c>
      <c r="C527" s="8">
        <f>'Model inputs'!C297</f>
        <v>0</v>
      </c>
      <c r="D527" s="8">
        <f>'Model inputs'!D569*'Model inputs'!O575</f>
        <v>12</v>
      </c>
      <c r="E527" s="8">
        <f>'Model inputs'!E569*'Model inputs'!O575</f>
        <v>24.6</v>
      </c>
      <c r="F527" s="8">
        <f>'Model inputs'!F569*'Model inputs'!O575</f>
        <v>37.89000000000001</v>
      </c>
      <c r="G527" s="8">
        <f>'Model inputs'!G569*'Model inputs'!O575</f>
        <v>51.96750000000001</v>
      </c>
      <c r="H527" s="8">
        <f>'Model inputs'!H569*'Model inputs'!O575</f>
        <v>66.93832500000002</v>
      </c>
      <c r="I527" s="8">
        <f>'Model inputs'!I569*'Model inputs'!O575</f>
        <v>82.91752875000003</v>
      </c>
      <c r="J527" s="8">
        <f>'Model inputs'!J569*'Model inputs'!O575</f>
        <v>100.03038431250002</v>
      </c>
      <c r="K527" s="8">
        <f>'Model inputs'!K569*'Model inputs'!O575</f>
        <v>118.41347029687505</v>
      </c>
      <c r="L527" s="8">
        <f>'Model inputs'!L569*'Model inputs'!O575</f>
        <v>138.2158625020313</v>
      </c>
      <c r="M527" s="8">
        <f>'Model inputs'!M569*'Model inputs'!O575</f>
        <v>159.60044166892976</v>
      </c>
      <c r="N527" s="8">
        <f>'Model inputs'!N569*'Model inputs'!O575</f>
        <v>182.74532910668333</v>
      </c>
    </row>
    <row r="528">
      <c r="A528" t="inlineStr" s="26">
        <is>
          <t xml:space="preserve">Variable compute expense</t>
        </is>
      </c>
      <c r="B528" s="16">
        <f>SUM('Model inputs'!B529,'Model inputs'!B530)</f>
        <v>46.1713963283475</v>
      </c>
      <c r="C528" s="16">
        <f>SUM('Model inputs'!C529,'Model inputs'!C530)</f>
        <v>0</v>
      </c>
      <c r="D528" s="16">
        <f>SUM('Model inputs'!D529,'Model inputs'!D530)</f>
        <v>4.8</v>
      </c>
      <c r="E528" s="16">
        <f>SUM('Model inputs'!E529,'Model inputs'!E530)</f>
        <v>9.360000000000001</v>
      </c>
      <c r="F528" s="16">
        <f>SUM('Model inputs'!F529,'Model inputs'!F530)</f>
        <v>13.703520000000001</v>
      </c>
      <c r="G528" s="16">
        <f>SUM('Model inputs'!G529,'Model inputs'!G530)</f>
        <v>17.852328000000004</v>
      </c>
      <c r="H528" s="16">
        <f>SUM('Model inputs'!H529,'Model inputs'!H530)</f>
        <v>21.826584048000004</v>
      </c>
      <c r="I528" s="16">
        <f>SUM('Model inputs'!I529,'Model inputs'!I530)</f>
        <v>25.644972880800005</v>
      </c>
      <c r="J528" s="16">
        <f>SUM('Model inputs'!J529,'Model inputs'!J530)</f>
        <v>29.3248260736752</v>
      </c>
      <c r="K528" s="16">
        <f>SUM('Model inputs'!K529,'Model inputs'!K530)</f>
        <v>32.88223454182056</v>
      </c>
      <c r="L528" s="16">
        <f>SUM('Model inputs'!L529,'Model inputs'!L530)</f>
        <v>36.332152169135476</v>
      </c>
      <c r="M528" s="16">
        <f>SUM('Model inputs'!M529,'Model inputs'!M530)</f>
        <v>39.688491277985015</v>
      </c>
      <c r="N528" s="16">
        <f>SUM('Model inputs'!N529,'Model inputs'!N530)</f>
        <v>42.964210596597994</v>
      </c>
    </row>
    <row r="529" outlineLevel="1">
      <c r="A529" t="inlineStr" s="27">
        <is>
          <t xml:space="preserve">Variable compute expense &gt; Starter</t>
        </is>
      </c>
      <c r="B529" s="8">
        <f>'Model inputs'!B571*'Model inputs'!O576</f>
        <v>17.314273623130312</v>
      </c>
      <c r="C529" s="8">
        <f>'Model inputs'!C296</f>
        <v>0</v>
      </c>
      <c r="D529" s="8">
        <f>'Model inputs'!D571*'Model inputs'!O576</f>
        <v>1.7999999999999998</v>
      </c>
      <c r="E529" s="8">
        <f>'Model inputs'!E571*'Model inputs'!O576</f>
        <v>3.5100000000000002</v>
      </c>
      <c r="F529" s="8">
        <f>'Model inputs'!F571*'Model inputs'!O576</f>
        <v>5.13882</v>
      </c>
      <c r="G529" s="8">
        <f>'Model inputs'!G571*'Model inputs'!O576</f>
        <v>6.694623000000001</v>
      </c>
      <c r="H529" s="8">
        <f>'Model inputs'!H571*'Model inputs'!O576</f>
        <v>8.184969018000002</v>
      </c>
      <c r="I529" s="8">
        <f>'Model inputs'!I571*'Model inputs'!O576</f>
        <v>9.6168648303</v>
      </c>
      <c r="J529" s="8">
        <f>'Model inputs'!J571*'Model inputs'!O576</f>
        <v>10.9968097776282</v>
      </c>
      <c r="K529" s="8">
        <f>'Model inputs'!K571*'Model inputs'!O576</f>
        <v>12.33083795318271</v>
      </c>
      <c r="L529" s="8">
        <f>'Model inputs'!L571*'Model inputs'!O576</f>
        <v>13.624557063425803</v>
      </c>
      <c r="M529" s="8">
        <f>'Model inputs'!M571*'Model inputs'!O576</f>
        <v>14.88318422924438</v>
      </c>
      <c r="N529" s="8">
        <f>'Model inputs'!N571*'Model inputs'!O576</f>
        <v>16.11157897372425</v>
      </c>
    </row>
    <row r="530" outlineLevel="1">
      <c r="A530" t="inlineStr" s="27">
        <is>
          <t xml:space="preserve">Variable compute expense &gt; Team</t>
        </is>
      </c>
      <c r="B530" s="8">
        <f>'Model inputs'!B572*'Model inputs'!O576</f>
        <v>28.857122705217183</v>
      </c>
      <c r="C530" s="8">
        <f>'Model inputs'!C297</f>
        <v>0</v>
      </c>
      <c r="D530" s="8">
        <f>'Model inputs'!D572*'Model inputs'!O576</f>
        <v>3</v>
      </c>
      <c r="E530" s="8">
        <f>'Model inputs'!E572*'Model inputs'!O576</f>
        <v>5.8500000000000005</v>
      </c>
      <c r="F530" s="8">
        <f>'Model inputs'!F572*'Model inputs'!O576</f>
        <v>8.5647</v>
      </c>
      <c r="G530" s="8">
        <f>'Model inputs'!G572*'Model inputs'!O576</f>
        <v>11.157705000000002</v>
      </c>
      <c r="H530" s="8">
        <f>'Model inputs'!H572*'Model inputs'!O576</f>
        <v>13.641615030000002</v>
      </c>
      <c r="I530" s="8">
        <f>'Model inputs'!I572*'Model inputs'!O576</f>
        <v>16.028108050500002</v>
      </c>
      <c r="J530" s="8">
        <f>'Model inputs'!J572*'Model inputs'!O576</f>
        <v>18.328016296047</v>
      </c>
      <c r="K530" s="8">
        <f>'Model inputs'!K572*'Model inputs'!O576</f>
        <v>20.55139658863785</v>
      </c>
      <c r="L530" s="8">
        <f>'Model inputs'!L572*'Model inputs'!O576</f>
        <v>22.70759510570967</v>
      </c>
      <c r="M530" s="8">
        <f>'Model inputs'!M572*'Model inputs'!O576</f>
        <v>24.805307048740634</v>
      </c>
      <c r="N530" s="8">
        <f>'Model inputs'!N572*'Model inputs'!O576</f>
        <v>26.852631622873748</v>
      </c>
    </row>
    <row r="531">
      <c r="A531" t="inlineStr" s="26">
        <is>
          <t xml:space="preserve">Variable logging expense</t>
        </is>
      </c>
      <c r="B531" s="16">
        <f>SUM('Model inputs'!B532,'Model inputs'!B533)</f>
        <v>0</v>
      </c>
      <c r="C531" s="16">
        <f>SUM('Model inputs'!C532,'Model inputs'!C533)</f>
        <v>0</v>
      </c>
      <c r="D531" s="16">
        <f>SUM('Model inputs'!D532,'Model inputs'!D533)</f>
        <v>0</v>
      </c>
      <c r="E531" s="16">
        <f>SUM('Model inputs'!E532,'Model inputs'!E533)</f>
        <v>0</v>
      </c>
      <c r="F531" s="16">
        <f>SUM('Model inputs'!F532,'Model inputs'!F533)</f>
        <v>0</v>
      </c>
      <c r="G531" s="16">
        <f>SUM('Model inputs'!G532,'Model inputs'!G533)</f>
        <v>0</v>
      </c>
      <c r="H531" s="16">
        <f>SUM('Model inputs'!H532,'Model inputs'!H533)</f>
        <v>0</v>
      </c>
      <c r="I531" s="16">
        <f>SUM('Model inputs'!I532,'Model inputs'!I533)</f>
        <v>0</v>
      </c>
      <c r="J531" s="16">
        <f>SUM('Model inputs'!J532,'Model inputs'!J533)</f>
        <v>0</v>
      </c>
      <c r="K531" s="16">
        <f>SUM('Model inputs'!K532,'Model inputs'!K533)</f>
        <v>0</v>
      </c>
      <c r="L531" s="16">
        <f>SUM('Model inputs'!L532,'Model inputs'!L533)</f>
        <v>0</v>
      </c>
      <c r="M531" s="16">
        <f>SUM('Model inputs'!M532,'Model inputs'!M533)</f>
        <v>0</v>
      </c>
      <c r="N531" s="16">
        <f>SUM('Model inputs'!N532,'Model inputs'!N533)</f>
        <v>0</v>
      </c>
    </row>
    <row r="532" outlineLevel="1">
      <c r="A532" t="inlineStr" s="27">
        <is>
          <t xml:space="preserve">Variable logging expense &gt; Starter</t>
        </is>
      </c>
      <c r="B532" s="8">
        <f>'Model inputs'!B562*'Model inputs'!O581</f>
        <v>0</v>
      </c>
      <c r="C532" s="8">
        <f>'Model inputs'!C299</f>
        <v>0</v>
      </c>
      <c r="D532" s="8">
        <f>'Model inputs'!D562*'Model inputs'!O581</f>
        <v>0</v>
      </c>
      <c r="E532" s="8">
        <f>'Model inputs'!E562*'Model inputs'!O581</f>
        <v>0</v>
      </c>
      <c r="F532" s="8">
        <f>'Model inputs'!F562*'Model inputs'!O581</f>
        <v>0</v>
      </c>
      <c r="G532" s="8">
        <f>'Model inputs'!G562*'Model inputs'!O581</f>
        <v>0</v>
      </c>
      <c r="H532" s="8">
        <f>'Model inputs'!H562*'Model inputs'!O581</f>
        <v>0</v>
      </c>
      <c r="I532" s="8">
        <f>'Model inputs'!I562*'Model inputs'!O581</f>
        <v>0</v>
      </c>
      <c r="J532" s="8">
        <f>'Model inputs'!J562*'Model inputs'!O581</f>
        <v>0</v>
      </c>
      <c r="K532" s="8">
        <f>'Model inputs'!K562*'Model inputs'!O581</f>
        <v>0</v>
      </c>
      <c r="L532" s="8">
        <f>'Model inputs'!L562*'Model inputs'!O581</f>
        <v>0</v>
      </c>
      <c r="M532" s="8">
        <f>'Model inputs'!M562*'Model inputs'!O581</f>
        <v>0</v>
      </c>
      <c r="N532" s="8">
        <f>'Model inputs'!N562*'Model inputs'!O581</f>
        <v>0</v>
      </c>
    </row>
    <row r="533" outlineLevel="1">
      <c r="A533" t="inlineStr" s="27">
        <is>
          <t xml:space="preserve">Variable logging expense &gt; Team</t>
        </is>
      </c>
      <c r="B533" s="8">
        <f>'Model inputs'!B563*'Model inputs'!O581</f>
        <v>0</v>
      </c>
      <c r="C533" s="8">
        <f>'Model inputs'!C300</f>
        <v>0</v>
      </c>
      <c r="D533" s="8">
        <f>'Model inputs'!D563*'Model inputs'!O581</f>
        <v>0</v>
      </c>
      <c r="E533" s="8">
        <f>'Model inputs'!E563*'Model inputs'!O581</f>
        <v>0</v>
      </c>
      <c r="F533" s="8">
        <f>'Model inputs'!F563*'Model inputs'!O581</f>
        <v>0</v>
      </c>
      <c r="G533" s="8">
        <f>'Model inputs'!G563*'Model inputs'!O581</f>
        <v>0</v>
      </c>
      <c r="H533" s="8">
        <f>'Model inputs'!H563*'Model inputs'!O581</f>
        <v>0</v>
      </c>
      <c r="I533" s="8">
        <f>'Model inputs'!I563*'Model inputs'!O581</f>
        <v>0</v>
      </c>
      <c r="J533" s="8">
        <f>'Model inputs'!J563*'Model inputs'!O581</f>
        <v>0</v>
      </c>
      <c r="K533" s="8">
        <f>'Model inputs'!K563*'Model inputs'!O581</f>
        <v>0</v>
      </c>
      <c r="L533" s="8">
        <f>'Model inputs'!L563*'Model inputs'!O581</f>
        <v>0</v>
      </c>
      <c r="M533" s="8">
        <f>'Model inputs'!M563*'Model inputs'!O581</f>
        <v>0</v>
      </c>
      <c r="N533" s="8">
        <f>'Model inputs'!N563*'Model inputs'!O581</f>
        <v>0</v>
      </c>
    </row>
    <row r="534">
      <c r="A534" t="inlineStr" s="26">
        <is>
          <t xml:space="preserve">Variable logging expense</t>
        </is>
      </c>
      <c r="B534" s="16">
        <f>SUM('Model inputs'!B535,'Model inputs'!B536)</f>
        <v>269.036891903189</v>
      </c>
      <c r="C534" s="16">
        <f>SUM('Model inputs'!C535,'Model inputs'!C536)</f>
        <v>0</v>
      </c>
      <c r="D534" s="16">
        <f>SUM('Model inputs'!D535,'Model inputs'!D536)</f>
        <v>10.4</v>
      </c>
      <c r="E534" s="16">
        <f>SUM('Model inputs'!E535,'Model inputs'!E536)</f>
        <v>22.048000000000002</v>
      </c>
      <c r="F534" s="16">
        <f>SUM('Model inputs'!F535,'Model inputs'!F536)</f>
        <v>35.140559999999994</v>
      </c>
      <c r="G534" s="16">
        <f>SUM('Model inputs'!G535,'Model inputs'!G536)</f>
        <v>49.9034432</v>
      </c>
      <c r="H534" s="16">
        <f>SUM('Model inputs'!H535,'Model inputs'!H536)</f>
        <v>66.596004904</v>
      </c>
      <c r="I534" s="16">
        <f>SUM('Model inputs'!I535,'Model inputs'!I536)</f>
        <v>85.51623950687998</v>
      </c>
      <c r="J534" s="16">
        <f>SUM('Model inputs'!J535,'Model inputs'!J536)</f>
        <v>107.00658428417358</v>
      </c>
      <c r="K534" s="16">
        <f>SUM('Model inputs'!K535,'Model inputs'!K536)</f>
        <v>131.46059351252336</v>
      </c>
      <c r="L534" s="16">
        <f>SUM('Model inputs'!L535,'Model inputs'!L536)</f>
        <v>159.3306134775539</v>
      </c>
      <c r="M534" s="16">
        <f>SUM('Model inputs'!M535,'Model inputs'!M536)</f>
        <v>191.13660850919445</v>
      </c>
      <c r="N534" s="16">
        <f>SUM('Model inputs'!N535,'Model inputs'!N536)</f>
        <v>227.47631070528084</v>
      </c>
    </row>
    <row r="535" outlineLevel="1">
      <c r="A535" t="inlineStr" s="27">
        <is>
          <t xml:space="preserve">Variable logging expense &gt; Starter</t>
        </is>
      </c>
      <c r="B535" s="8">
        <f>'Model inputs'!B565*'Model inputs'!O582</f>
        <v>62.0854365930436</v>
      </c>
      <c r="C535" s="8">
        <f>'Model inputs'!C299</f>
        <v>0</v>
      </c>
      <c r="D535" s="8">
        <f>'Model inputs'!D565*'Model inputs'!O582</f>
        <v>2.4</v>
      </c>
      <c r="E535" s="8">
        <f>'Model inputs'!E565*'Model inputs'!O582</f>
        <v>5.088</v>
      </c>
      <c r="F535" s="8">
        <f>'Model inputs'!F565*'Model inputs'!O582</f>
        <v>8.109359999999999</v>
      </c>
      <c r="G535" s="8">
        <f>'Model inputs'!G565*'Model inputs'!O582</f>
        <v>11.5161792</v>
      </c>
      <c r="H535" s="8">
        <f>'Model inputs'!H565*'Model inputs'!O582</f>
        <v>15.368308823999998</v>
      </c>
      <c r="I535" s="8">
        <f>'Model inputs'!I565*'Model inputs'!O582</f>
        <v>19.734516809279995</v>
      </c>
      <c r="J535" s="8">
        <f>'Model inputs'!J565*'Model inputs'!O582</f>
        <v>24.693827142501597</v>
      </c>
      <c r="K535" s="8">
        <f>'Model inputs'!K565*'Model inputs'!O582</f>
        <v>30.337060041351542</v>
      </c>
      <c r="L535" s="8">
        <f>'Model inputs'!L565*'Model inputs'!O582</f>
        <v>36.768603110204744</v>
      </c>
      <c r="M535" s="8">
        <f>'Model inputs'!M565*'Model inputs'!O582</f>
        <v>44.10844811750641</v>
      </c>
      <c r="N535" s="8">
        <f>'Model inputs'!N565*'Model inputs'!O582</f>
        <v>52.49453323968019</v>
      </c>
    </row>
    <row r="536" outlineLevel="1">
      <c r="A536" t="inlineStr" s="27">
        <is>
          <t xml:space="preserve">Variable logging expense &gt; Team</t>
        </is>
      </c>
      <c r="B536" s="8">
        <f>'Model inputs'!B566*'Model inputs'!O582</f>
        <v>206.95145531014535</v>
      </c>
      <c r="C536" s="8">
        <f>'Model inputs'!C300</f>
        <v>0</v>
      </c>
      <c r="D536" s="8">
        <f>'Model inputs'!D566*'Model inputs'!O582</f>
        <v>8</v>
      </c>
      <c r="E536" s="8">
        <f>'Model inputs'!E566*'Model inputs'!O582</f>
        <v>16.96</v>
      </c>
      <c r="F536" s="8">
        <f>'Model inputs'!F566*'Model inputs'!O582</f>
        <v>27.0312</v>
      </c>
      <c r="G536" s="8">
        <f>'Model inputs'!G566*'Model inputs'!O582</f>
        <v>38.387263999999995</v>
      </c>
      <c r="H536" s="8">
        <f>'Model inputs'!H566*'Model inputs'!O582</f>
        <v>51.227696079999994</v>
      </c>
      <c r="I536" s="8">
        <f>'Model inputs'!I566*'Model inputs'!O582</f>
        <v>65.78172269759999</v>
      </c>
      <c r="J536" s="8">
        <f>'Model inputs'!J566*'Model inputs'!O582</f>
        <v>82.31275714167198</v>
      </c>
      <c r="K536" s="8">
        <f>'Model inputs'!K566*'Model inputs'!O582</f>
        <v>101.12353347117181</v>
      </c>
      <c r="L536" s="8">
        <f>'Model inputs'!L566*'Model inputs'!O582</f>
        <v>122.56201036734915</v>
      </c>
      <c r="M536" s="8">
        <f>'Model inputs'!M566*'Model inputs'!O582</f>
        <v>147.02816039168803</v>
      </c>
      <c r="N536" s="8">
        <f>'Model inputs'!N566*'Model inputs'!O582</f>
        <v>174.98177746560066</v>
      </c>
    </row>
    <row r="537">
      <c r="A537" t="inlineStr" s="26">
        <is>
          <t xml:space="preserve">Variable logging expense</t>
        </is>
      </c>
      <c r="B537" s="16">
        <f>SUM('Model inputs'!B538,'Model inputs'!B539)</f>
        <v>90.06636735402333</v>
      </c>
      <c r="C537" s="16">
        <f>SUM('Model inputs'!C538,'Model inputs'!C539)</f>
        <v>0</v>
      </c>
      <c r="D537" s="16">
        <f>SUM('Model inputs'!D538,'Model inputs'!D539)</f>
        <v>5.2</v>
      </c>
      <c r="E537" s="16">
        <f>SUM('Model inputs'!E538,'Model inputs'!E539)</f>
        <v>10.660000000000002</v>
      </c>
      <c r="F537" s="16">
        <f>SUM('Model inputs'!F538,'Model inputs'!F539)</f>
        <v>16.419000000000004</v>
      </c>
      <c r="G537" s="16">
        <f>SUM('Model inputs'!G538,'Model inputs'!G539)</f>
        <v>22.519250000000007</v>
      </c>
      <c r="H537" s="16">
        <f>SUM('Model inputs'!H538,'Model inputs'!H539)</f>
        <v>29.00660750000001</v>
      </c>
      <c r="I537" s="16">
        <f>SUM('Model inputs'!I538,'Model inputs'!I539)</f>
        <v>35.93092912500001</v>
      </c>
      <c r="J537" s="16">
        <f>SUM('Model inputs'!J538,'Model inputs'!J539)</f>
        <v>43.346499868750016</v>
      </c>
      <c r="K537" s="16">
        <f>SUM('Model inputs'!K538,'Model inputs'!K539)</f>
        <v>51.31250379531252</v>
      </c>
      <c r="L537" s="16">
        <f>SUM('Model inputs'!L538,'Model inputs'!L539)</f>
        <v>59.89354041754691</v>
      </c>
      <c r="M537" s="16">
        <f>SUM('Model inputs'!M538,'Model inputs'!M539)</f>
        <v>69.16019138986958</v>
      </c>
      <c r="N537" s="16">
        <f>SUM('Model inputs'!N538,'Model inputs'!N539)</f>
        <v>79.18964261289611</v>
      </c>
    </row>
    <row r="538" outlineLevel="1">
      <c r="A538" t="inlineStr" s="27">
        <is>
          <t xml:space="preserve">Variable logging expense &gt; Starter</t>
        </is>
      </c>
      <c r="B538" s="8">
        <f>'Model inputs'!B568*'Model inputs'!O583</f>
        <v>20.784546312466922</v>
      </c>
      <c r="C538" s="8">
        <f>'Model inputs'!C299</f>
        <v>0</v>
      </c>
      <c r="D538" s="8">
        <f>'Model inputs'!D568*'Model inputs'!O583</f>
        <v>1.2</v>
      </c>
      <c r="E538" s="8">
        <f>'Model inputs'!E568*'Model inputs'!O583</f>
        <v>2.4600000000000004</v>
      </c>
      <c r="F538" s="8">
        <f>'Model inputs'!F568*'Model inputs'!O583</f>
        <v>3.789000000000001</v>
      </c>
      <c r="G538" s="8">
        <f>'Model inputs'!G568*'Model inputs'!O583</f>
        <v>5.1967500000000015</v>
      </c>
      <c r="H538" s="8">
        <f>'Model inputs'!H568*'Model inputs'!O583</f>
        <v>6.693832500000002</v>
      </c>
      <c r="I538" s="8">
        <f>'Model inputs'!I568*'Model inputs'!O583</f>
        <v>8.291752875000004</v>
      </c>
      <c r="J538" s="8">
        <f>'Model inputs'!J568*'Model inputs'!O583</f>
        <v>10.003038431250003</v>
      </c>
      <c r="K538" s="8">
        <f>'Model inputs'!K568*'Model inputs'!O583</f>
        <v>11.841347029687507</v>
      </c>
      <c r="L538" s="8">
        <f>'Model inputs'!L568*'Model inputs'!O583</f>
        <v>13.821586250203135</v>
      </c>
      <c r="M538" s="8">
        <f>'Model inputs'!M568*'Model inputs'!O583</f>
        <v>15.96004416689298</v>
      </c>
      <c r="N538" s="8">
        <f>'Model inputs'!N568*'Model inputs'!O583</f>
        <v>18.274532910668334</v>
      </c>
    </row>
    <row r="539" outlineLevel="1">
      <c r="A539" t="inlineStr" s="27">
        <is>
          <t xml:space="preserve">Variable logging expense &gt; Team</t>
        </is>
      </c>
      <c r="B539" s="8">
        <f>'Model inputs'!B569*'Model inputs'!O583</f>
        <v>69.28182104155641</v>
      </c>
      <c r="C539" s="8">
        <f>'Model inputs'!C300</f>
        <v>0</v>
      </c>
      <c r="D539" s="8">
        <f>'Model inputs'!D569*'Model inputs'!O583</f>
        <v>4</v>
      </c>
      <c r="E539" s="8">
        <f>'Model inputs'!E569*'Model inputs'!O583</f>
        <v>8.200000000000001</v>
      </c>
      <c r="F539" s="8">
        <f>'Model inputs'!F569*'Model inputs'!O583</f>
        <v>12.630000000000003</v>
      </c>
      <c r="G539" s="8">
        <f>'Model inputs'!G569*'Model inputs'!O583</f>
        <v>17.322500000000005</v>
      </c>
      <c r="H539" s="8">
        <f>'Model inputs'!H569*'Model inputs'!O583</f>
        <v>22.312775000000006</v>
      </c>
      <c r="I539" s="8">
        <f>'Model inputs'!I569*'Model inputs'!O583</f>
        <v>27.63917625000001</v>
      </c>
      <c r="J539" s="8">
        <f>'Model inputs'!J569*'Model inputs'!O583</f>
        <v>33.34346143750001</v>
      </c>
      <c r="K539" s="8">
        <f>'Model inputs'!K569*'Model inputs'!O583</f>
        <v>39.47115676562502</v>
      </c>
      <c r="L539" s="8">
        <f>'Model inputs'!L569*'Model inputs'!O583</f>
        <v>46.071954167343776</v>
      </c>
      <c r="M539" s="8">
        <f>'Model inputs'!M569*'Model inputs'!O583</f>
        <v>53.2001472229766</v>
      </c>
      <c r="N539" s="8">
        <f>'Model inputs'!N569*'Model inputs'!O583</f>
        <v>60.91510970222778</v>
      </c>
    </row>
    <row r="540">
      <c r="A540" t="inlineStr" s="26">
        <is>
          <t xml:space="preserve">Variable logging expense</t>
        </is>
      </c>
      <c r="B540" s="16">
        <f>SUM('Model inputs'!B541,'Model inputs'!B542)</f>
        <v>15.3904654427825</v>
      </c>
      <c r="C540" s="16">
        <f>SUM('Model inputs'!C541,'Model inputs'!C542)</f>
        <v>0</v>
      </c>
      <c r="D540" s="16">
        <f>SUM('Model inputs'!D541,'Model inputs'!D542)</f>
        <v>1.6</v>
      </c>
      <c r="E540" s="16">
        <f>SUM('Model inputs'!E541,'Model inputs'!E542)</f>
        <v>3.1200000000000006</v>
      </c>
      <c r="F540" s="16">
        <f>SUM('Model inputs'!F541,'Model inputs'!F542)</f>
        <v>4.56784</v>
      </c>
      <c r="G540" s="16">
        <f>SUM('Model inputs'!G541,'Model inputs'!G542)</f>
        <v>5.950776000000001</v>
      </c>
      <c r="H540" s="16">
        <f>SUM('Model inputs'!H541,'Model inputs'!H542)</f>
        <v>7.275528016000001</v>
      </c>
      <c r="I540" s="16">
        <f>SUM('Model inputs'!I541,'Model inputs'!I542)</f>
        <v>8.5483242936</v>
      </c>
      <c r="J540" s="16">
        <f>SUM('Model inputs'!J541,'Model inputs'!J542)</f>
        <v>9.7749420245584</v>
      </c>
      <c r="K540" s="16">
        <f>SUM('Model inputs'!K541,'Model inputs'!K542)</f>
        <v>10.96074484727352</v>
      </c>
      <c r="L540" s="16">
        <f>SUM('Model inputs'!L541,'Model inputs'!L542)</f>
        <v>12.110717389711825</v>
      </c>
      <c r="M540" s="16">
        <f>SUM('Model inputs'!M541,'Model inputs'!M542)</f>
        <v>13.22949709266167</v>
      </c>
      <c r="N540" s="16">
        <f>SUM('Model inputs'!N541,'Model inputs'!N542)</f>
        <v>14.321403532199332</v>
      </c>
    </row>
    <row r="541" outlineLevel="1">
      <c r="A541" t="inlineStr" s="27">
        <is>
          <t xml:space="preserve">Variable logging expense &gt; Starter</t>
        </is>
      </c>
      <c r="B541" s="8">
        <f>'Model inputs'!B571*'Model inputs'!O584</f>
        <v>5.771424541043437</v>
      </c>
      <c r="C541" s="8">
        <f>'Model inputs'!C299</f>
        <v>0</v>
      </c>
      <c r="D541" s="8">
        <f>'Model inputs'!D571*'Model inputs'!O584</f>
        <v>0.6</v>
      </c>
      <c r="E541" s="8">
        <f>'Model inputs'!E571*'Model inputs'!O584</f>
        <v>1.1700000000000002</v>
      </c>
      <c r="F541" s="8">
        <f>'Model inputs'!F571*'Model inputs'!O584</f>
        <v>1.7129400000000001</v>
      </c>
      <c r="G541" s="8">
        <f>'Model inputs'!G571*'Model inputs'!O584</f>
        <v>2.2315410000000004</v>
      </c>
      <c r="H541" s="8">
        <f>'Model inputs'!H571*'Model inputs'!O584</f>
        <v>2.7283230060000006</v>
      </c>
      <c r="I541" s="8">
        <f>'Model inputs'!I571*'Model inputs'!O584</f>
        <v>3.2056216101000006</v>
      </c>
      <c r="J541" s="8">
        <f>'Model inputs'!J571*'Model inputs'!O584</f>
        <v>3.6656032592094006</v>
      </c>
      <c r="K541" s="8">
        <f>'Model inputs'!K571*'Model inputs'!O584</f>
        <v>4.110279317727571</v>
      </c>
      <c r="L541" s="8">
        <f>'Model inputs'!L571*'Model inputs'!O584</f>
        <v>4.5415190211419345</v>
      </c>
      <c r="M541" s="8">
        <f>'Model inputs'!M571*'Model inputs'!O584</f>
        <v>4.961061409748127</v>
      </c>
      <c r="N541" s="8">
        <f>'Model inputs'!N571*'Model inputs'!O584</f>
        <v>5.370526324574749</v>
      </c>
    </row>
    <row r="542" outlineLevel="1">
      <c r="A542" t="inlineStr" s="27">
        <is>
          <t xml:space="preserve">Variable logging expense &gt; Team</t>
        </is>
      </c>
      <c r="B542" s="8">
        <f>'Model inputs'!B572*'Model inputs'!O584</f>
        <v>9.619040901739062</v>
      </c>
      <c r="C542" s="8">
        <f>'Model inputs'!C300</f>
        <v>0</v>
      </c>
      <c r="D542" s="8">
        <f>'Model inputs'!D572*'Model inputs'!O584</f>
        <v>1</v>
      </c>
      <c r="E542" s="8">
        <f>'Model inputs'!E572*'Model inputs'!O584</f>
        <v>1.9500000000000004</v>
      </c>
      <c r="F542" s="8">
        <f>'Model inputs'!F572*'Model inputs'!O584</f>
        <v>2.8549</v>
      </c>
      <c r="G542" s="8">
        <f>'Model inputs'!G572*'Model inputs'!O584</f>
        <v>3.7192350000000007</v>
      </c>
      <c r="H542" s="8">
        <f>'Model inputs'!H572*'Model inputs'!O584</f>
        <v>4.547205010000001</v>
      </c>
      <c r="I542" s="8">
        <f>'Model inputs'!I572*'Model inputs'!O584</f>
        <v>5.342702683500001</v>
      </c>
      <c r="J542" s="8">
        <f>'Model inputs'!J572*'Model inputs'!O584</f>
        <v>6.109338765349</v>
      </c>
      <c r="K542" s="8">
        <f>'Model inputs'!K572*'Model inputs'!O584</f>
        <v>6.85046552954595</v>
      </c>
      <c r="L542" s="8">
        <f>'Model inputs'!L572*'Model inputs'!O584</f>
        <v>7.56919836856989</v>
      </c>
      <c r="M542" s="8">
        <f>'Model inputs'!M572*'Model inputs'!O584</f>
        <v>8.268435682913545</v>
      </c>
      <c r="N542" s="8">
        <f>'Model inputs'!N572*'Model inputs'!O584</f>
        <v>8.950877207624583</v>
      </c>
    </row>
    <row r="543">
      <c r="A543" t="inlineStr" s="26">
        <is>
          <t xml:space="preserve">Variable support expense</t>
        </is>
      </c>
      <c r="B543" s="16">
        <f>SUM('Model inputs'!B544,'Model inputs'!B545)</f>
        <v>0</v>
      </c>
      <c r="C543" s="16">
        <f>SUM('Model inputs'!C544,'Model inputs'!C545)</f>
        <v>0</v>
      </c>
      <c r="D543" s="16">
        <f>SUM('Model inputs'!D544,'Model inputs'!D545)</f>
        <v>0</v>
      </c>
      <c r="E543" s="16">
        <f>SUM('Model inputs'!E544,'Model inputs'!E545)</f>
        <v>0</v>
      </c>
      <c r="F543" s="16">
        <f>SUM('Model inputs'!F544,'Model inputs'!F545)</f>
        <v>0</v>
      </c>
      <c r="G543" s="16">
        <f>SUM('Model inputs'!G544,'Model inputs'!G545)</f>
        <v>0</v>
      </c>
      <c r="H543" s="16">
        <f>SUM('Model inputs'!H544,'Model inputs'!H545)</f>
        <v>0</v>
      </c>
      <c r="I543" s="16">
        <f>SUM('Model inputs'!I544,'Model inputs'!I545)</f>
        <v>0</v>
      </c>
      <c r="J543" s="16">
        <f>SUM('Model inputs'!J544,'Model inputs'!J545)</f>
        <v>0</v>
      </c>
      <c r="K543" s="16">
        <f>SUM('Model inputs'!K544,'Model inputs'!K545)</f>
        <v>0</v>
      </c>
      <c r="L543" s="16">
        <f>SUM('Model inputs'!L544,'Model inputs'!L545)</f>
        <v>0</v>
      </c>
      <c r="M543" s="16">
        <f>SUM('Model inputs'!M544,'Model inputs'!M545)</f>
        <v>0</v>
      </c>
      <c r="N543" s="16">
        <f>SUM('Model inputs'!N544,'Model inputs'!N545)</f>
        <v>0</v>
      </c>
    </row>
    <row r="544" outlineLevel="1">
      <c r="A544" t="inlineStr" s="27">
        <is>
          <t xml:space="preserve">Variable support expense &gt; Starter</t>
        </is>
      </c>
      <c r="B544" s="8">
        <f>'Model inputs'!B212*'Model inputs'!O590</f>
        <v>0</v>
      </c>
      <c r="C544" s="8">
        <f>'Model inputs'!C302</f>
        <v>0</v>
      </c>
      <c r="D544" s="8">
        <f>'Model inputs'!D212*'Model inputs'!O590</f>
        <v>0</v>
      </c>
      <c r="E544" s="8">
        <f>'Model inputs'!E212*'Model inputs'!O590</f>
        <v>0</v>
      </c>
      <c r="F544" s="8">
        <f>'Model inputs'!F212*'Model inputs'!O590</f>
        <v>0</v>
      </c>
      <c r="G544" s="8">
        <f>'Model inputs'!G212*'Model inputs'!O590</f>
        <v>0</v>
      </c>
      <c r="H544" s="8">
        <f>'Model inputs'!H212*'Model inputs'!O590</f>
        <v>0</v>
      </c>
      <c r="I544" s="8">
        <f>'Model inputs'!I212*'Model inputs'!O590</f>
        <v>0</v>
      </c>
      <c r="J544" s="8">
        <f>'Model inputs'!J212*'Model inputs'!O590</f>
        <v>0</v>
      </c>
      <c r="K544" s="8">
        <f>'Model inputs'!K212*'Model inputs'!O590</f>
        <v>0</v>
      </c>
      <c r="L544" s="8">
        <f>'Model inputs'!L212*'Model inputs'!O590</f>
        <v>0</v>
      </c>
      <c r="M544" s="8">
        <f>'Model inputs'!M212*'Model inputs'!O590</f>
        <v>0</v>
      </c>
      <c r="N544" s="8">
        <f>'Model inputs'!N212*'Model inputs'!O590</f>
        <v>0</v>
      </c>
    </row>
    <row r="545" outlineLevel="1">
      <c r="A545" t="inlineStr" s="27">
        <is>
          <t xml:space="preserve">Variable support expense &gt; Team</t>
        </is>
      </c>
      <c r="B545" s="8">
        <f>'Model inputs'!B213*'Model inputs'!O591</f>
        <v>0</v>
      </c>
      <c r="C545" s="8">
        <f>'Model inputs'!C303</f>
        <v>0</v>
      </c>
      <c r="D545" s="8">
        <f>'Model inputs'!D213*'Model inputs'!O591</f>
        <v>0</v>
      </c>
      <c r="E545" s="8">
        <f>'Model inputs'!E213*'Model inputs'!O591</f>
        <v>0</v>
      </c>
      <c r="F545" s="8">
        <f>'Model inputs'!F213*'Model inputs'!O591</f>
        <v>0</v>
      </c>
      <c r="G545" s="8">
        <f>'Model inputs'!G213*'Model inputs'!O591</f>
        <v>0</v>
      </c>
      <c r="H545" s="8">
        <f>'Model inputs'!H213*'Model inputs'!O591</f>
        <v>0</v>
      </c>
      <c r="I545" s="8">
        <f>'Model inputs'!I213*'Model inputs'!O591</f>
        <v>0</v>
      </c>
      <c r="J545" s="8">
        <f>'Model inputs'!J213*'Model inputs'!O591</f>
        <v>0</v>
      </c>
      <c r="K545" s="8">
        <f>'Model inputs'!K213*'Model inputs'!O591</f>
        <v>0</v>
      </c>
      <c r="L545" s="8">
        <f>'Model inputs'!L213*'Model inputs'!O591</f>
        <v>0</v>
      </c>
      <c r="M545" s="8">
        <f>'Model inputs'!M213*'Model inputs'!O591</f>
        <v>0</v>
      </c>
      <c r="N545" s="8">
        <f>'Model inputs'!N213*'Model inputs'!O591</f>
        <v>0</v>
      </c>
    </row>
    <row r="546">
      <c r="A546" t="inlineStr" s="26">
        <is>
          <t xml:space="preserve">Variable support expense</t>
        </is>
      </c>
      <c r="B546" s="16">
        <f>SUM('Model inputs'!B547,'Model inputs'!B548)</f>
        <v>827.8058212405814</v>
      </c>
      <c r="C546" s="16">
        <f>SUM('Model inputs'!C547,'Model inputs'!C548)</f>
        <v>0</v>
      </c>
      <c r="D546" s="16">
        <f>SUM('Model inputs'!D547,'Model inputs'!D548)</f>
        <v>32</v>
      </c>
      <c r="E546" s="16">
        <f>SUM('Model inputs'!E547,'Model inputs'!E548)</f>
        <v>67.84</v>
      </c>
      <c r="F546" s="16">
        <f>SUM('Model inputs'!F547,'Model inputs'!F548)</f>
        <v>108.1248</v>
      </c>
      <c r="G546" s="16">
        <f>SUM('Model inputs'!G547,'Model inputs'!G548)</f>
        <v>153.54905599999998</v>
      </c>
      <c r="H546" s="16">
        <f>SUM('Model inputs'!H547,'Model inputs'!H548)</f>
        <v>204.91078431999998</v>
      </c>
      <c r="I546" s="16">
        <f>SUM('Model inputs'!I547,'Model inputs'!I548)</f>
        <v>263.12689079039995</v>
      </c>
      <c r="J546" s="16">
        <f>SUM('Model inputs'!J547,'Model inputs'!J548)</f>
        <v>329.2510285666879</v>
      </c>
      <c r="K546" s="16">
        <f>SUM('Model inputs'!K547,'Model inputs'!K548)</f>
        <v>404.49413388468724</v>
      </c>
      <c r="L546" s="16">
        <f>SUM('Model inputs'!L547,'Model inputs'!L548)</f>
        <v>490.2480414693966</v>
      </c>
      <c r="M546" s="16">
        <f>SUM('Model inputs'!M547,'Model inputs'!M548)</f>
        <v>588.1126415667521</v>
      </c>
      <c r="N546" s="16">
        <f>SUM('Model inputs'!N547,'Model inputs'!N548)</f>
        <v>699.9271098624025</v>
      </c>
    </row>
    <row r="547" outlineLevel="1">
      <c r="A547" t="inlineStr" s="27">
        <is>
          <t xml:space="preserve">Variable support expense &gt; Starter</t>
        </is>
      </c>
      <c r="B547" s="8">
        <f>'Model inputs'!B215*'Model inputs'!O593</f>
        <v>206.95145531014535</v>
      </c>
      <c r="C547" s="8">
        <f>'Model inputs'!C302</f>
        <v>0</v>
      </c>
      <c r="D547" s="8">
        <f>'Model inputs'!D215*'Model inputs'!O593</f>
        <v>8</v>
      </c>
      <c r="E547" s="8">
        <f>'Model inputs'!E215*'Model inputs'!O593</f>
        <v>16.96</v>
      </c>
      <c r="F547" s="8">
        <f>'Model inputs'!F215*'Model inputs'!O593</f>
        <v>27.0312</v>
      </c>
      <c r="G547" s="8">
        <f>'Model inputs'!G215*'Model inputs'!O593</f>
        <v>38.387263999999995</v>
      </c>
      <c r="H547" s="8">
        <f>'Model inputs'!H215*'Model inputs'!O593</f>
        <v>51.227696079999994</v>
      </c>
      <c r="I547" s="8">
        <f>'Model inputs'!I215*'Model inputs'!O593</f>
        <v>65.78172269759999</v>
      </c>
      <c r="J547" s="8">
        <f>'Model inputs'!J215*'Model inputs'!O593</f>
        <v>82.31275714167198</v>
      </c>
      <c r="K547" s="8">
        <f>'Model inputs'!K215*'Model inputs'!O593</f>
        <v>101.12353347117181</v>
      </c>
      <c r="L547" s="8">
        <f>'Model inputs'!L215*'Model inputs'!O593</f>
        <v>122.56201036734915</v>
      </c>
      <c r="M547" s="8">
        <f>'Model inputs'!M215*'Model inputs'!O593</f>
        <v>147.02816039168803</v>
      </c>
      <c r="N547" s="8">
        <f>'Model inputs'!N215*'Model inputs'!O593</f>
        <v>174.98177746560063</v>
      </c>
    </row>
    <row r="548" outlineLevel="1">
      <c r="A548" t="inlineStr" s="27">
        <is>
          <t xml:space="preserve">Variable support expense &gt; Team</t>
        </is>
      </c>
      <c r="B548" s="8">
        <f>'Model inputs'!B216*'Model inputs'!O594</f>
        <v>620.8543659304361</v>
      </c>
      <c r="C548" s="8">
        <f>'Model inputs'!C303</f>
        <v>0</v>
      </c>
      <c r="D548" s="8">
        <f>'Model inputs'!D216*'Model inputs'!O594</f>
        <v>24</v>
      </c>
      <c r="E548" s="8">
        <f>'Model inputs'!E216*'Model inputs'!O594</f>
        <v>50.88</v>
      </c>
      <c r="F548" s="8">
        <f>'Model inputs'!F216*'Model inputs'!O594</f>
        <v>81.0936</v>
      </c>
      <c r="G548" s="8">
        <f>'Model inputs'!G216*'Model inputs'!O594</f>
        <v>115.16179199999999</v>
      </c>
      <c r="H548" s="8">
        <f>'Model inputs'!H216*'Model inputs'!O594</f>
        <v>153.68308824</v>
      </c>
      <c r="I548" s="8">
        <f>'Model inputs'!I216*'Model inputs'!O594</f>
        <v>197.34516809279995</v>
      </c>
      <c r="J548" s="8">
        <f>'Model inputs'!J216*'Model inputs'!O594</f>
        <v>246.93827142501596</v>
      </c>
      <c r="K548" s="8">
        <f>'Model inputs'!K216*'Model inputs'!O594</f>
        <v>303.37060041351543</v>
      </c>
      <c r="L548" s="8">
        <f>'Model inputs'!L216*'Model inputs'!O594</f>
        <v>367.6860311020474</v>
      </c>
      <c r="M548" s="8">
        <f>'Model inputs'!M216*'Model inputs'!O594</f>
        <v>441.08448117506407</v>
      </c>
      <c r="N548" s="8">
        <f>'Model inputs'!N216*'Model inputs'!O594</f>
        <v>524.9453323968019</v>
      </c>
    </row>
    <row r="549">
      <c r="A549" t="inlineStr" s="26">
        <is>
          <t xml:space="preserve">Variable support expense</t>
        </is>
      </c>
      <c r="B549" s="16">
        <f>SUM('Model inputs'!B550,'Model inputs'!B551)</f>
        <v>277.12728416622565</v>
      </c>
      <c r="C549" s="16">
        <f>SUM('Model inputs'!C550,'Model inputs'!C551)</f>
        <v>0</v>
      </c>
      <c r="D549" s="16">
        <f>SUM('Model inputs'!D550,'Model inputs'!D551)</f>
        <v>16</v>
      </c>
      <c r="E549" s="16">
        <f>SUM('Model inputs'!E550,'Model inputs'!E551)</f>
        <v>32.800000000000004</v>
      </c>
      <c r="F549" s="16">
        <f>SUM('Model inputs'!F550,'Model inputs'!F551)</f>
        <v>50.52000000000001</v>
      </c>
      <c r="G549" s="16">
        <f>SUM('Model inputs'!G550,'Model inputs'!G551)</f>
        <v>69.29000000000002</v>
      </c>
      <c r="H549" s="16">
        <f>SUM('Model inputs'!H550,'Model inputs'!H551)</f>
        <v>89.25110000000002</v>
      </c>
      <c r="I549" s="16">
        <f>SUM('Model inputs'!I550,'Model inputs'!I551)</f>
        <v>110.55670500000004</v>
      </c>
      <c r="J549" s="16">
        <f>SUM('Model inputs'!J550,'Model inputs'!J551)</f>
        <v>133.37384575000004</v>
      </c>
      <c r="K549" s="16">
        <f>SUM('Model inputs'!K550,'Model inputs'!K551)</f>
        <v>157.88462706250007</v>
      </c>
      <c r="L549" s="16">
        <f>SUM('Model inputs'!L550,'Model inputs'!L551)</f>
        <v>184.2878166693751</v>
      </c>
      <c r="M549" s="16">
        <f>SUM('Model inputs'!M550,'Model inputs'!M551)</f>
        <v>212.8005888919064</v>
      </c>
      <c r="N549" s="16">
        <f>SUM('Model inputs'!N550,'Model inputs'!N551)</f>
        <v>243.66043880891112</v>
      </c>
    </row>
    <row r="550" outlineLevel="1">
      <c r="A550" t="inlineStr" s="27">
        <is>
          <t xml:space="preserve">Variable support expense &gt; Starter</t>
        </is>
      </c>
      <c r="B550" s="8">
        <f>'Model inputs'!B218*'Model inputs'!O596</f>
        <v>69.28182104155641</v>
      </c>
      <c r="C550" s="8">
        <f>'Model inputs'!C302</f>
        <v>0</v>
      </c>
      <c r="D550" s="8">
        <f>'Model inputs'!D218*'Model inputs'!O596</f>
        <v>4</v>
      </c>
      <c r="E550" s="8">
        <f>'Model inputs'!E218*'Model inputs'!O596</f>
        <v>8.200000000000001</v>
      </c>
      <c r="F550" s="8">
        <f>'Model inputs'!F218*'Model inputs'!O596</f>
        <v>12.630000000000003</v>
      </c>
      <c r="G550" s="8">
        <f>'Model inputs'!G218*'Model inputs'!O596</f>
        <v>17.322500000000005</v>
      </c>
      <c r="H550" s="8">
        <f>'Model inputs'!H218*'Model inputs'!O596</f>
        <v>22.312775000000006</v>
      </c>
      <c r="I550" s="8">
        <f>'Model inputs'!I218*'Model inputs'!O596</f>
        <v>27.63917625000001</v>
      </c>
      <c r="J550" s="8">
        <f>'Model inputs'!J218*'Model inputs'!O596</f>
        <v>33.34346143750001</v>
      </c>
      <c r="K550" s="8">
        <f>'Model inputs'!K218*'Model inputs'!O596</f>
        <v>39.47115676562502</v>
      </c>
      <c r="L550" s="8">
        <f>'Model inputs'!L218*'Model inputs'!O596</f>
        <v>46.071954167343776</v>
      </c>
      <c r="M550" s="8">
        <f>'Model inputs'!M218*'Model inputs'!O596</f>
        <v>53.2001472229766</v>
      </c>
      <c r="N550" s="8">
        <f>'Model inputs'!N218*'Model inputs'!O596</f>
        <v>60.91510970222778</v>
      </c>
    </row>
    <row r="551" outlineLevel="1">
      <c r="A551" t="inlineStr" s="27">
        <is>
          <t xml:space="preserve">Variable support expense &gt; Team</t>
        </is>
      </c>
      <c r="B551" s="8">
        <f>'Model inputs'!B219*'Model inputs'!O597</f>
        <v>207.84546312466924</v>
      </c>
      <c r="C551" s="8">
        <f>'Model inputs'!C303</f>
        <v>0</v>
      </c>
      <c r="D551" s="8">
        <f>'Model inputs'!D219*'Model inputs'!O597</f>
        <v>12</v>
      </c>
      <c r="E551" s="8">
        <f>'Model inputs'!E219*'Model inputs'!O597</f>
        <v>24.6</v>
      </c>
      <c r="F551" s="8">
        <f>'Model inputs'!F219*'Model inputs'!O597</f>
        <v>37.89000000000001</v>
      </c>
      <c r="G551" s="8">
        <f>'Model inputs'!G219*'Model inputs'!O597</f>
        <v>51.967500000000015</v>
      </c>
      <c r="H551" s="8">
        <f>'Model inputs'!H219*'Model inputs'!O597</f>
        <v>66.93832500000002</v>
      </c>
      <c r="I551" s="8">
        <f>'Model inputs'!I219*'Model inputs'!O597</f>
        <v>82.91752875000003</v>
      </c>
      <c r="J551" s="8">
        <f>'Model inputs'!J219*'Model inputs'!O597</f>
        <v>100.03038431250003</v>
      </c>
      <c r="K551" s="8">
        <f>'Model inputs'!K219*'Model inputs'!O597</f>
        <v>118.41347029687506</v>
      </c>
      <c r="L551" s="8">
        <f>'Model inputs'!L219*'Model inputs'!O597</f>
        <v>138.2158625020313</v>
      </c>
      <c r="M551" s="8">
        <f>'Model inputs'!M219*'Model inputs'!O597</f>
        <v>159.6004416689298</v>
      </c>
      <c r="N551" s="8">
        <f>'Model inputs'!N219*'Model inputs'!O597</f>
        <v>182.74532910668336</v>
      </c>
    </row>
    <row r="552">
      <c r="A552" t="inlineStr" s="26">
        <is>
          <t xml:space="preserve">Variable support expense</t>
        </is>
      </c>
      <c r="B552" s="16">
        <f>SUM('Model inputs'!B553,'Model inputs'!B554)</f>
        <v>48.09520450869531</v>
      </c>
      <c r="C552" s="16">
        <f>SUM('Model inputs'!C553,'Model inputs'!C554)</f>
        <v>0</v>
      </c>
      <c r="D552" s="16">
        <f>SUM('Model inputs'!D553,'Model inputs'!D554)</f>
        <v>5</v>
      </c>
      <c r="E552" s="16">
        <f>SUM('Model inputs'!E553,'Model inputs'!E554)</f>
        <v>9.75</v>
      </c>
      <c r="F552" s="16">
        <f>SUM('Model inputs'!F553,'Model inputs'!F554)</f>
        <v>14.2745</v>
      </c>
      <c r="G552" s="16">
        <f>SUM('Model inputs'!G553,'Model inputs'!G554)</f>
        <v>18.596175000000002</v>
      </c>
      <c r="H552" s="16">
        <f>SUM('Model inputs'!H553,'Model inputs'!H554)</f>
        <v>22.736025050000002</v>
      </c>
      <c r="I552" s="16">
        <f>SUM('Model inputs'!I553,'Model inputs'!I554)</f>
        <v>26.713513417500003</v>
      </c>
      <c r="J552" s="16">
        <f>SUM('Model inputs'!J553,'Model inputs'!J554)</f>
        <v>30.546693826745</v>
      </c>
      <c r="K552" s="16">
        <f>SUM('Model inputs'!K553,'Model inputs'!K554)</f>
        <v>34.25232764772975</v>
      </c>
      <c r="L552" s="16">
        <f>SUM('Model inputs'!L553,'Model inputs'!L554)</f>
        <v>37.84599184284945</v>
      </c>
      <c r="M552" s="16">
        <f>SUM('Model inputs'!M553,'Model inputs'!M554)</f>
        <v>41.34217841456773</v>
      </c>
      <c r="N552" s="16">
        <f>SUM('Model inputs'!N553,'Model inputs'!N554)</f>
        <v>44.75438603812292</v>
      </c>
    </row>
    <row r="553" outlineLevel="1">
      <c r="A553" t="inlineStr" s="27">
        <is>
          <t xml:space="preserve">Variable support expense &gt; Starter</t>
        </is>
      </c>
      <c r="B553" s="8">
        <f>'Model inputs'!B221*'Model inputs'!O599</f>
        <v>19.238081803478124</v>
      </c>
      <c r="C553" s="8">
        <f>'Model inputs'!C302</f>
        <v>0</v>
      </c>
      <c r="D553" s="8">
        <f>'Model inputs'!D221*'Model inputs'!O599</f>
        <v>2</v>
      </c>
      <c r="E553" s="8">
        <f>'Model inputs'!E221*'Model inputs'!O599</f>
        <v>3.9000000000000004</v>
      </c>
      <c r="F553" s="8">
        <f>'Model inputs'!F221*'Model inputs'!O599</f>
        <v>5.7098</v>
      </c>
      <c r="G553" s="8">
        <f>'Model inputs'!G221*'Model inputs'!O599</f>
        <v>7.438470000000001</v>
      </c>
      <c r="H553" s="8">
        <f>'Model inputs'!H221*'Model inputs'!O599</f>
        <v>9.094410020000002</v>
      </c>
      <c r="I553" s="8">
        <f>'Model inputs'!I221*'Model inputs'!O599</f>
        <v>10.685405367000001</v>
      </c>
      <c r="J553" s="8">
        <f>'Model inputs'!J221*'Model inputs'!O599</f>
        <v>12.218677530698</v>
      </c>
      <c r="K553" s="8">
        <f>'Model inputs'!K221*'Model inputs'!O599</f>
        <v>13.7009310590919</v>
      </c>
      <c r="L553" s="8">
        <f>'Model inputs'!L221*'Model inputs'!O599</f>
        <v>15.13839673713978</v>
      </c>
      <c r="M553" s="8">
        <f>'Model inputs'!M221*'Model inputs'!O599</f>
        <v>16.53687136582709</v>
      </c>
      <c r="N553" s="8">
        <f>'Model inputs'!N221*'Model inputs'!O599</f>
        <v>17.901754415249165</v>
      </c>
    </row>
    <row r="554" outlineLevel="1">
      <c r="A554" t="inlineStr" s="27">
        <is>
          <t xml:space="preserve">Variable support expense &gt; Team</t>
        </is>
      </c>
      <c r="B554" s="8">
        <f>'Model inputs'!B222*'Model inputs'!O600</f>
        <v>28.857122705217186</v>
      </c>
      <c r="C554" s="8">
        <f>'Model inputs'!C303</f>
        <v>0</v>
      </c>
      <c r="D554" s="8">
        <f>'Model inputs'!D222*'Model inputs'!O600</f>
        <v>3</v>
      </c>
      <c r="E554" s="8">
        <f>'Model inputs'!E222*'Model inputs'!O600</f>
        <v>5.8500000000000005</v>
      </c>
      <c r="F554" s="8">
        <f>'Model inputs'!F222*'Model inputs'!O600</f>
        <v>8.5647</v>
      </c>
      <c r="G554" s="8">
        <f>'Model inputs'!G222*'Model inputs'!O600</f>
        <v>11.157705</v>
      </c>
      <c r="H554" s="8">
        <f>'Model inputs'!H222*'Model inputs'!O600</f>
        <v>13.641615030000002</v>
      </c>
      <c r="I554" s="8">
        <f>'Model inputs'!I222*'Model inputs'!O600</f>
        <v>16.028108050500002</v>
      </c>
      <c r="J554" s="8">
        <f>'Model inputs'!J222*'Model inputs'!O600</f>
        <v>18.328016296047</v>
      </c>
      <c r="K554" s="8">
        <f>'Model inputs'!K222*'Model inputs'!O600</f>
        <v>20.55139658863785</v>
      </c>
      <c r="L554" s="8">
        <f>'Model inputs'!L222*'Model inputs'!O600</f>
        <v>22.70759510570967</v>
      </c>
      <c r="M554" s="8">
        <f>'Model inputs'!M222*'Model inputs'!O600</f>
        <v>24.805307048740634</v>
      </c>
      <c r="N554" s="8">
        <f>'Model inputs'!N222*'Model inputs'!O600</f>
        <v>26.852631622873748</v>
      </c>
    </row>
    <row r="555">
      <c r="A555" t="inlineStr" s="26">
        <is>
          <t xml:space="preserve">Verifications per customer</t>
        </is>
      </c>
      <c r="O555" s="6">
        <v>0</v>
      </c>
    </row>
    <row r="556" outlineLevel="1">
      <c r="A556" t="inlineStr" s="27">
        <is>
          <t xml:space="preserve">Verifications per customer &gt; Starter</t>
        </is>
      </c>
      <c r="O556" s="9">
        <f>'NeatRescue — Assumptions &amp; (2)'!D5</f>
        <v>120</v>
      </c>
    </row>
    <row r="557" outlineLevel="1">
      <c r="A557" t="inlineStr" s="27">
        <is>
          <t xml:space="preserve">Verifications per customer &gt; Team</t>
        </is>
      </c>
      <c r="O557" s="9">
        <f>'NeatRescue — Assumptions &amp; (2)'!D6</f>
        <v>800</v>
      </c>
    </row>
    <row r="558">
      <c r="A558" t="inlineStr" s="26">
        <is>
          <t xml:space="preserve">Verifications per customer</t>
        </is>
      </c>
      <c r="O558" s="6">
        <v>0</v>
      </c>
    </row>
    <row r="559" outlineLevel="1">
      <c r="A559" t="inlineStr" s="27">
        <is>
          <t xml:space="preserve">Verifications per customer &gt; Starter</t>
        </is>
      </c>
      <c r="O559" s="9">
        <f>'NeatRescue — Assumptions &amp; (2)'!D5</f>
        <v>120</v>
      </c>
    </row>
    <row r="560" outlineLevel="1">
      <c r="A560" t="inlineStr" s="27">
        <is>
          <t xml:space="preserve">Verifications per customer &gt; Team</t>
        </is>
      </c>
      <c r="O560" s="9">
        <f>'NeatRescue — Assumptions &amp; (2)'!D6</f>
        <v>800</v>
      </c>
    </row>
    <row r="561">
      <c r="A561" t="inlineStr" s="26">
        <is>
          <t xml:space="preserve">Billed verifications</t>
        </is>
      </c>
      <c r="B561" s="6">
        <f>SUM('Model inputs'!B562,'Model inputs'!B563)</f>
        <v>0</v>
      </c>
      <c r="C561" s="6">
        <f>SUM('Model inputs'!C562,'Model inputs'!C563)</f>
        <v>0</v>
      </c>
      <c r="D561" s="6">
        <f>SUM('Model inputs'!D562,'Model inputs'!D563)</f>
        <v>0</v>
      </c>
      <c r="E561" s="6">
        <f>SUM('Model inputs'!E562,'Model inputs'!E563)</f>
        <v>0</v>
      </c>
      <c r="F561" s="6">
        <f>SUM('Model inputs'!F562,'Model inputs'!F563)</f>
        <v>0</v>
      </c>
      <c r="G561" s="6">
        <f>SUM('Model inputs'!G562,'Model inputs'!G563)</f>
        <v>0</v>
      </c>
      <c r="H561" s="6">
        <f>SUM('Model inputs'!H562,'Model inputs'!H563)</f>
        <v>0</v>
      </c>
      <c r="I561" s="6">
        <f>SUM('Model inputs'!I562,'Model inputs'!I563)</f>
        <v>0</v>
      </c>
      <c r="J561" s="6">
        <f>SUM('Model inputs'!J562,'Model inputs'!J563)</f>
        <v>0</v>
      </c>
      <c r="K561" s="6">
        <f>SUM('Model inputs'!K562,'Model inputs'!K563)</f>
        <v>0</v>
      </c>
      <c r="L561" s="6">
        <f>SUM('Model inputs'!L562,'Model inputs'!L563)</f>
        <v>0</v>
      </c>
      <c r="M561" s="6">
        <f>SUM('Model inputs'!M562,'Model inputs'!M563)</f>
        <v>0</v>
      </c>
      <c r="N561" s="6">
        <f>SUM('Model inputs'!N562,'Model inputs'!N563)</f>
        <v>0</v>
      </c>
    </row>
    <row r="562" outlineLevel="1">
      <c r="A562" t="inlineStr" s="27">
        <is>
          <t xml:space="preserve">Billed verifications &gt; Starter</t>
        </is>
      </c>
      <c r="B562" s="9">
        <f>'Model inputs'!B212*'Model inputs'!O556</f>
        <v>0</v>
      </c>
      <c r="C562" s="9">
        <f>'Model inputs'!C447</f>
        <v>0</v>
      </c>
      <c r="D562" s="9">
        <f>'Model inputs'!D212*'Model inputs'!O556</f>
        <v>0</v>
      </c>
      <c r="E562" s="9">
        <f>'Model inputs'!E212*'Model inputs'!O556</f>
        <v>0</v>
      </c>
      <c r="F562" s="9">
        <f>'Model inputs'!F212*'Model inputs'!O556</f>
        <v>0</v>
      </c>
      <c r="G562" s="9">
        <f>'Model inputs'!G212*'Model inputs'!O556</f>
        <v>0</v>
      </c>
      <c r="H562" s="9">
        <f>'Model inputs'!H212*'Model inputs'!O556</f>
        <v>0</v>
      </c>
      <c r="I562" s="9">
        <f>'Model inputs'!I212*'Model inputs'!O556</f>
        <v>0</v>
      </c>
      <c r="J562" s="9">
        <f>'Model inputs'!J212*'Model inputs'!O556</f>
        <v>0</v>
      </c>
      <c r="K562" s="9">
        <f>'Model inputs'!K212*'Model inputs'!O556</f>
        <v>0</v>
      </c>
      <c r="L562" s="9">
        <f>'Model inputs'!L212*'Model inputs'!O556</f>
        <v>0</v>
      </c>
      <c r="M562" s="9">
        <f>'Model inputs'!M212*'Model inputs'!O556</f>
        <v>0</v>
      </c>
      <c r="N562" s="9">
        <f>'Model inputs'!N212*'Model inputs'!O556</f>
        <v>0</v>
      </c>
    </row>
    <row r="563" outlineLevel="1">
      <c r="A563" t="inlineStr" s="27">
        <is>
          <t xml:space="preserve">Billed verifications &gt; Team</t>
        </is>
      </c>
      <c r="B563" s="9">
        <f>'Model inputs'!B213*'Model inputs'!O557</f>
        <v>0</v>
      </c>
      <c r="C563" s="9">
        <f>'Model inputs'!C448</f>
        <v>0</v>
      </c>
      <c r="D563" s="9">
        <f>'Model inputs'!D213*'Model inputs'!O557</f>
        <v>0</v>
      </c>
      <c r="E563" s="9">
        <f>'Model inputs'!E213*'Model inputs'!O557</f>
        <v>0</v>
      </c>
      <c r="F563" s="9">
        <f>'Model inputs'!F213*'Model inputs'!O557</f>
        <v>0</v>
      </c>
      <c r="G563" s="9">
        <f>'Model inputs'!G213*'Model inputs'!O557</f>
        <v>0</v>
      </c>
      <c r="H563" s="9">
        <f>'Model inputs'!H213*'Model inputs'!O557</f>
        <v>0</v>
      </c>
      <c r="I563" s="9">
        <f>'Model inputs'!I213*'Model inputs'!O557</f>
        <v>0</v>
      </c>
      <c r="J563" s="9">
        <f>'Model inputs'!J213*'Model inputs'!O557</f>
        <v>0</v>
      </c>
      <c r="K563" s="9">
        <f>'Model inputs'!K213*'Model inputs'!O557</f>
        <v>0</v>
      </c>
      <c r="L563" s="9">
        <f>'Model inputs'!L213*'Model inputs'!O557</f>
        <v>0</v>
      </c>
      <c r="M563" s="9">
        <f>'Model inputs'!M213*'Model inputs'!O557</f>
        <v>0</v>
      </c>
      <c r="N563" s="9">
        <f>'Model inputs'!N213*'Model inputs'!O557</f>
        <v>0</v>
      </c>
    </row>
    <row r="564">
      <c r="A564" t="inlineStr" s="26">
        <is>
          <t xml:space="preserve">Billed verifications</t>
        </is>
      </c>
      <c r="B564" s="6">
        <f>SUM('Model inputs'!B565,'Model inputs'!B566)</f>
        <v>53807.37838063779</v>
      </c>
      <c r="C564" s="6">
        <f>SUM('Model inputs'!C565,'Model inputs'!C566)</f>
        <v>0</v>
      </c>
      <c r="D564" s="6">
        <f>SUM('Model inputs'!D565,'Model inputs'!D566)</f>
        <v>2080</v>
      </c>
      <c r="E564" s="6">
        <f>SUM('Model inputs'!E565,'Model inputs'!E566)</f>
        <v>4409.6</v>
      </c>
      <c r="F564" s="6">
        <f>SUM('Model inputs'!F565,'Model inputs'!F566)</f>
        <v>7028.111999999999</v>
      </c>
      <c r="G564" s="6">
        <f>SUM('Model inputs'!G565,'Model inputs'!G566)</f>
        <v>9980.688639999998</v>
      </c>
      <c r="H564" s="6">
        <f>SUM('Model inputs'!H565,'Model inputs'!H566)</f>
        <v>13319.200980799998</v>
      </c>
      <c r="I564" s="6">
        <f>SUM('Model inputs'!I565,'Model inputs'!I566)</f>
        <v>17103.247901376</v>
      </c>
      <c r="J564" s="6">
        <f>SUM('Model inputs'!J565,'Model inputs'!J566)</f>
        <v>21401.316856834714</v>
      </c>
      <c r="K564" s="6">
        <f>SUM('Model inputs'!K565,'Model inputs'!K566)</f>
        <v>26292.11870250467</v>
      </c>
      <c r="L564" s="6">
        <f>SUM('Model inputs'!L565,'Model inputs'!L566)</f>
        <v>31866.122695510778</v>
      </c>
      <c r="M564" s="6">
        <f>SUM('Model inputs'!M565,'Model inputs'!M566)</f>
        <v>38227.32170183889</v>
      </c>
      <c r="N564" s="6">
        <f>SUM('Model inputs'!N565,'Model inputs'!N566)</f>
        <v>45495.26214105617</v>
      </c>
    </row>
    <row r="565" outlineLevel="1">
      <c r="A565" t="inlineStr" s="27">
        <is>
          <t xml:space="preserve">Billed verifications &gt; Starter</t>
        </is>
      </c>
      <c r="B565" s="9">
        <f>'Model inputs'!B215*'Model inputs'!O441</f>
        <v>12417.087318608721</v>
      </c>
      <c r="C565" s="9">
        <f>'Model inputs'!C447</f>
        <v>0</v>
      </c>
      <c r="D565" s="9">
        <f>'Model inputs'!D215*'Model inputs'!O441</f>
        <v>480</v>
      </c>
      <c r="E565" s="9">
        <f>'Model inputs'!E215*'Model inputs'!O441</f>
        <v>1017.6</v>
      </c>
      <c r="F565" s="9">
        <f>'Model inputs'!F215*'Model inputs'!O441</f>
        <v>1621.8719999999998</v>
      </c>
      <c r="G565" s="9">
        <f>'Model inputs'!G215*'Model inputs'!O441</f>
        <v>2303.23584</v>
      </c>
      <c r="H565" s="9">
        <f>'Model inputs'!H215*'Model inputs'!O441</f>
        <v>3073.6617647999997</v>
      </c>
      <c r="I565" s="9">
        <f>'Model inputs'!I215*'Model inputs'!O441</f>
        <v>3946.9033618559993</v>
      </c>
      <c r="J565" s="9">
        <f>'Model inputs'!J215*'Model inputs'!O441</f>
        <v>4938.765428500319</v>
      </c>
      <c r="K565" s="9">
        <f>'Model inputs'!K215*'Model inputs'!O441</f>
        <v>6067.412008270308</v>
      </c>
      <c r="L565" s="9">
        <f>'Model inputs'!L215*'Model inputs'!O441</f>
        <v>7353.720622040949</v>
      </c>
      <c r="M565" s="9">
        <f>'Model inputs'!M215*'Model inputs'!O441</f>
        <v>8821.689623501283</v>
      </c>
      <c r="N565" s="9">
        <f>'Model inputs'!N215*'Model inputs'!O441</f>
        <v>10498.906647936037</v>
      </c>
    </row>
    <row r="566" outlineLevel="1">
      <c r="A566" t="inlineStr" s="27">
        <is>
          <t xml:space="preserve">Billed verifications &gt; Team</t>
        </is>
      </c>
      <c r="B566" s="9">
        <f>'Model inputs'!B216*'Model inputs'!O442</f>
        <v>41390.29106202907</v>
      </c>
      <c r="C566" s="9">
        <f>'Model inputs'!C448</f>
        <v>0</v>
      </c>
      <c r="D566" s="9">
        <f>'Model inputs'!D216*'Model inputs'!O442</f>
        <v>1600</v>
      </c>
      <c r="E566" s="9">
        <f>'Model inputs'!E216*'Model inputs'!O442</f>
        <v>3392</v>
      </c>
      <c r="F566" s="9">
        <f>'Model inputs'!F216*'Model inputs'!O442</f>
        <v>5406.24</v>
      </c>
      <c r="G566" s="9">
        <f>'Model inputs'!G216*'Model inputs'!O442</f>
        <v>7677.452799999999</v>
      </c>
      <c r="H566" s="9">
        <f>'Model inputs'!H216*'Model inputs'!O442</f>
        <v>10245.539216</v>
      </c>
      <c r="I566" s="9">
        <f>'Model inputs'!I216*'Model inputs'!O442</f>
        <v>13156.344539519998</v>
      </c>
      <c r="J566" s="9">
        <f>'Model inputs'!J216*'Model inputs'!O442</f>
        <v>16462.551428334395</v>
      </c>
      <c r="K566" s="9">
        <f>'Model inputs'!K216*'Model inputs'!O442</f>
        <v>20224.706694234363</v>
      </c>
      <c r="L566" s="9">
        <f>'Model inputs'!L216*'Model inputs'!O442</f>
        <v>24512.402073469828</v>
      </c>
      <c r="M566" s="9">
        <f>'Model inputs'!M216*'Model inputs'!O442</f>
        <v>29405.632078337607</v>
      </c>
      <c r="N566" s="9">
        <f>'Model inputs'!N216*'Model inputs'!O442</f>
        <v>34996.35549312013</v>
      </c>
    </row>
    <row r="567">
      <c r="A567" t="inlineStr" s="26">
        <is>
          <t xml:space="preserve">Billed verifications</t>
        </is>
      </c>
      <c r="B567" s="6">
        <f>SUM('Model inputs'!B568,'Model inputs'!B569)</f>
        <v>18013.273470804666</v>
      </c>
      <c r="C567" s="6">
        <f>SUM('Model inputs'!C568,'Model inputs'!C569)</f>
        <v>0</v>
      </c>
      <c r="D567" s="6">
        <f>SUM('Model inputs'!D568,'Model inputs'!D569)</f>
        <v>1040</v>
      </c>
      <c r="E567" s="6">
        <f>SUM('Model inputs'!E568,'Model inputs'!E569)</f>
        <v>2132.0000000000005</v>
      </c>
      <c r="F567" s="6">
        <f>SUM('Model inputs'!F568,'Model inputs'!F569)</f>
        <v>3283.8000000000006</v>
      </c>
      <c r="G567" s="6">
        <f>SUM('Model inputs'!G568,'Model inputs'!G569)</f>
        <v>4503.850000000001</v>
      </c>
      <c r="H567" s="6">
        <f>SUM('Model inputs'!H568,'Model inputs'!H569)</f>
        <v>5801.321500000002</v>
      </c>
      <c r="I567" s="6">
        <f>SUM('Model inputs'!I568,'Model inputs'!I569)</f>
        <v>7186.185825000002</v>
      </c>
      <c r="J567" s="6">
        <f>SUM('Model inputs'!J568,'Model inputs'!J569)</f>
        <v>8669.299973750003</v>
      </c>
      <c r="K567" s="6">
        <f>SUM('Model inputs'!K568,'Model inputs'!K569)</f>
        <v>10262.500759062505</v>
      </c>
      <c r="L567" s="6">
        <f>SUM('Model inputs'!L568,'Model inputs'!L569)</f>
        <v>11978.708083509382</v>
      </c>
      <c r="M567" s="6">
        <f>SUM('Model inputs'!M568,'Model inputs'!M569)</f>
        <v>13832.038277973914</v>
      </c>
      <c r="N567" s="6">
        <f>SUM('Model inputs'!N568,'Model inputs'!N569)</f>
        <v>15837.928522579223</v>
      </c>
    </row>
    <row r="568" outlineLevel="1">
      <c r="A568" t="inlineStr" s="27">
        <is>
          <t xml:space="preserve">Billed verifications &gt; Starter</t>
        </is>
      </c>
      <c r="B568" s="9">
        <f>'Model inputs'!B218*'Model inputs'!O559</f>
        <v>4156.909262493385</v>
      </c>
      <c r="C568" s="9">
        <f>'Model inputs'!C447</f>
        <v>0</v>
      </c>
      <c r="D568" s="9">
        <f>'Model inputs'!D218*'Model inputs'!O559</f>
        <v>240</v>
      </c>
      <c r="E568" s="9">
        <f>'Model inputs'!E218*'Model inputs'!O559</f>
        <v>492.00000000000006</v>
      </c>
      <c r="F568" s="9">
        <f>'Model inputs'!F218*'Model inputs'!O559</f>
        <v>757.8000000000002</v>
      </c>
      <c r="G568" s="9">
        <f>'Model inputs'!G218*'Model inputs'!O559</f>
        <v>1039.3500000000004</v>
      </c>
      <c r="H568" s="9">
        <f>'Model inputs'!H218*'Model inputs'!O559</f>
        <v>1338.7665000000004</v>
      </c>
      <c r="I568" s="9">
        <f>'Model inputs'!I218*'Model inputs'!O559</f>
        <v>1658.3505750000006</v>
      </c>
      <c r="J568" s="9">
        <f>'Model inputs'!J218*'Model inputs'!O559</f>
        <v>2000.6076862500006</v>
      </c>
      <c r="K568" s="9">
        <f>'Model inputs'!K218*'Model inputs'!O559</f>
        <v>2368.2694059375012</v>
      </c>
      <c r="L568" s="9">
        <f>'Model inputs'!L218*'Model inputs'!O559</f>
        <v>2764.3172500406267</v>
      </c>
      <c r="M568" s="9">
        <f>'Model inputs'!M218*'Model inputs'!O559</f>
        <v>3192.0088333785957</v>
      </c>
      <c r="N568" s="9">
        <f>'Model inputs'!N218*'Model inputs'!O559</f>
        <v>3654.9065821336667</v>
      </c>
    </row>
    <row r="569" outlineLevel="1">
      <c r="A569" t="inlineStr" s="27">
        <is>
          <t xml:space="preserve">Billed verifications &gt; Team</t>
        </is>
      </c>
      <c r="B569" s="9">
        <f>'Model inputs'!B219*'Model inputs'!O560</f>
        <v>13856.364208311283</v>
      </c>
      <c r="C569" s="9">
        <f>'Model inputs'!C448</f>
        <v>0</v>
      </c>
      <c r="D569" s="9">
        <f>'Model inputs'!D219*'Model inputs'!O560</f>
        <v>800</v>
      </c>
      <c r="E569" s="9">
        <f>'Model inputs'!E219*'Model inputs'!O560</f>
        <v>1640.0000000000002</v>
      </c>
      <c r="F569" s="9">
        <f>'Model inputs'!F219*'Model inputs'!O560</f>
        <v>2526.0000000000005</v>
      </c>
      <c r="G569" s="9">
        <f>'Model inputs'!G219*'Model inputs'!O560</f>
        <v>3464.500000000001</v>
      </c>
      <c r="H569" s="9">
        <f>'Model inputs'!H219*'Model inputs'!O560</f>
        <v>4462.555000000001</v>
      </c>
      <c r="I569" s="9">
        <f>'Model inputs'!I219*'Model inputs'!O560</f>
        <v>5527.835250000002</v>
      </c>
      <c r="J569" s="9">
        <f>'Model inputs'!J219*'Model inputs'!O560</f>
        <v>6668.692287500002</v>
      </c>
      <c r="K569" s="9">
        <f>'Model inputs'!K219*'Model inputs'!O560</f>
        <v>7894.231353125004</v>
      </c>
      <c r="L569" s="9">
        <f>'Model inputs'!L219*'Model inputs'!O560</f>
        <v>9214.390833468755</v>
      </c>
      <c r="M569" s="9">
        <f>'Model inputs'!M219*'Model inputs'!O560</f>
        <v>10640.029444595319</v>
      </c>
      <c r="N569" s="9">
        <f>'Model inputs'!N219*'Model inputs'!O560</f>
        <v>12183.021940445557</v>
      </c>
    </row>
    <row r="570">
      <c r="A570" t="inlineStr" s="26">
        <is>
          <t xml:space="preserve">Billed verifications</t>
        </is>
      </c>
      <c r="B570" s="6">
        <f>SUM('Model inputs'!B571,'Model inputs'!B572)</f>
        <v>3078.0930885565</v>
      </c>
      <c r="C570" s="6">
        <f>SUM('Model inputs'!C571,'Model inputs'!C572)</f>
        <v>0</v>
      </c>
      <c r="D570" s="6">
        <f>SUM('Model inputs'!D571,'Model inputs'!D572)</f>
        <v>320</v>
      </c>
      <c r="E570" s="6">
        <f>SUM('Model inputs'!E571,'Model inputs'!E572)</f>
        <v>624.0000000000001</v>
      </c>
      <c r="F570" s="6">
        <f>SUM('Model inputs'!F571,'Model inputs'!F572)</f>
        <v>913.568</v>
      </c>
      <c r="G570" s="6">
        <f>SUM('Model inputs'!G571,'Model inputs'!G572)</f>
        <v>1190.1552000000001</v>
      </c>
      <c r="H570" s="6">
        <f>SUM('Model inputs'!H571,'Model inputs'!H572)</f>
        <v>1455.1056032000001</v>
      </c>
      <c r="I570" s="6">
        <f>SUM('Model inputs'!I571,'Model inputs'!I572)</f>
        <v>1709.6648587200002</v>
      </c>
      <c r="J570" s="6">
        <f>SUM('Model inputs'!J571,'Model inputs'!J572)</f>
        <v>1954.9884049116802</v>
      </c>
      <c r="K570" s="6">
        <f>SUM('Model inputs'!K571,'Model inputs'!K572)</f>
        <v>2192.148969454704</v>
      </c>
      <c r="L570" s="6">
        <f>SUM('Model inputs'!L571,'Model inputs'!L572)</f>
        <v>2422.143477942365</v>
      </c>
      <c r="M570" s="6">
        <f>SUM('Model inputs'!M571,'Model inputs'!M572)</f>
        <v>2645.8994185323345</v>
      </c>
      <c r="N570" s="6">
        <f>SUM('Model inputs'!N571,'Model inputs'!N572)</f>
        <v>2864.2807064398667</v>
      </c>
    </row>
    <row r="571" outlineLevel="1">
      <c r="A571" t="inlineStr" s="27">
        <is>
          <t xml:space="preserve">Billed verifications &gt; Starter</t>
        </is>
      </c>
      <c r="B571" s="9">
        <f>'Model inputs'!B221*'Model inputs'!O444</f>
        <v>1154.2849082086875</v>
      </c>
      <c r="C571" s="9">
        <f>'Model inputs'!C447</f>
        <v>0</v>
      </c>
      <c r="D571" s="9">
        <f>'Model inputs'!D221*'Model inputs'!O444</f>
        <v>120</v>
      </c>
      <c r="E571" s="9">
        <f>'Model inputs'!E221*'Model inputs'!O444</f>
        <v>234.00000000000003</v>
      </c>
      <c r="F571" s="9">
        <f>'Model inputs'!F221*'Model inputs'!O444</f>
        <v>342.588</v>
      </c>
      <c r="G571" s="9">
        <f>'Model inputs'!G221*'Model inputs'!O444</f>
        <v>446.30820000000006</v>
      </c>
      <c r="H571" s="9">
        <f>'Model inputs'!H221*'Model inputs'!O444</f>
        <v>545.6646012000001</v>
      </c>
      <c r="I571" s="9">
        <f>'Model inputs'!I221*'Model inputs'!O444</f>
        <v>641.1243220200001</v>
      </c>
      <c r="J571" s="9">
        <f>'Model inputs'!J221*'Model inputs'!O444</f>
        <v>733.1206518418801</v>
      </c>
      <c r="K571" s="9">
        <f>'Model inputs'!K221*'Model inputs'!O444</f>
        <v>822.0558635455141</v>
      </c>
      <c r="L571" s="9">
        <f>'Model inputs'!L221*'Model inputs'!O444</f>
        <v>908.3038042283869</v>
      </c>
      <c r="M571" s="9">
        <f>'Model inputs'!M221*'Model inputs'!O444</f>
        <v>992.2122819496253</v>
      </c>
      <c r="N571" s="9">
        <f>'Model inputs'!N221*'Model inputs'!O444</f>
        <v>1074.1052649149499</v>
      </c>
    </row>
    <row r="572" outlineLevel="1">
      <c r="A572" t="inlineStr" s="27">
        <is>
          <t xml:space="preserve">Billed verifications &gt; Team</t>
        </is>
      </c>
      <c r="B572" s="9">
        <f>'Model inputs'!B222*'Model inputs'!O445</f>
        <v>1923.8081803478124</v>
      </c>
      <c r="C572" s="9">
        <f>'Model inputs'!C448</f>
        <v>0</v>
      </c>
      <c r="D572" s="9">
        <f>'Model inputs'!D222*'Model inputs'!O445</f>
        <v>200</v>
      </c>
      <c r="E572" s="9">
        <f>'Model inputs'!E222*'Model inputs'!O445</f>
        <v>390.00000000000006</v>
      </c>
      <c r="F572" s="9">
        <f>'Model inputs'!F222*'Model inputs'!O445</f>
        <v>570.98</v>
      </c>
      <c r="G572" s="9">
        <f>'Model inputs'!G222*'Model inputs'!O445</f>
        <v>743.8470000000001</v>
      </c>
      <c r="H572" s="9">
        <f>'Model inputs'!H222*'Model inputs'!O445</f>
        <v>909.4410020000001</v>
      </c>
      <c r="I572" s="9">
        <f>'Model inputs'!I222*'Model inputs'!O445</f>
        <v>1068.5405367</v>
      </c>
      <c r="J572" s="9">
        <f>'Model inputs'!J222*'Model inputs'!O445</f>
        <v>1221.8677530698</v>
      </c>
      <c r="K572" s="9">
        <f>'Model inputs'!K222*'Model inputs'!O445</f>
        <v>1370.09310590919</v>
      </c>
      <c r="L572" s="9">
        <f>'Model inputs'!L222*'Model inputs'!O445</f>
        <v>1513.839673713978</v>
      </c>
      <c r="M572" s="9">
        <f>'Model inputs'!M222*'Model inputs'!O445</f>
        <v>1653.687136582709</v>
      </c>
      <c r="N572" s="9">
        <f>'Model inputs'!N222*'Model inputs'!O445</f>
        <v>1790.1754415249166</v>
      </c>
    </row>
    <row r="573">
      <c r="A573" t="inlineStr" s="26">
        <is>
          <t xml:space="preserve">Compute cost per verification · Variable compute expense · Funding shortfall · Bootstrap no-sales stress — hypothetical · Bootstrap no-sales stress — hypothetical · Bootstrap no-sales stress — hypothetical</t>
        </is>
      </c>
      <c r="O573" s="28">
        <f>'NeatRescue — Assumptions &amp; simu'!B8</f>
        <v>0.015</v>
      </c>
    </row>
    <row r="574">
      <c r="A574" t="inlineStr" s="26">
        <is>
          <t xml:space="preserve">Compute cost per verification · Variable compute expense · Closing cash · Growth · Growth · Growth</t>
        </is>
      </c>
      <c r="O574" s="28">
        <f>'NeatRescue — Assumptions &amp; simu'!B8</f>
        <v>0.015</v>
      </c>
    </row>
    <row r="575">
      <c r="A575" t="inlineStr" s="26">
        <is>
          <t xml:space="preserve">Compute cost per verification · Variable compute expense · Funding shortfall · Bootstrap $5,000 — hypothetical · Bootstrap $5,000 — hypothetical · Bootstrap $5,000 — hypothetical</t>
        </is>
      </c>
      <c r="O575" s="28">
        <f>'NeatRescue — Assumptions &amp; simu'!B8</f>
        <v>0.015</v>
      </c>
    </row>
    <row r="576">
      <c r="A576" t="inlineStr" s="26">
        <is>
          <t xml:space="preserve">Compute cost per verification · Variable compute expense · Closing cash · Conservative · Conservative · Conservative</t>
        </is>
      </c>
      <c r="O576" s="28">
        <f>'NeatRescue — Assumptions &amp; simu'!B8</f>
        <v>0.015</v>
      </c>
    </row>
    <row r="577">
      <c r="A577" t="inlineStr" s="26">
        <is>
          <t xml:space="preserve">Inference cost per verification · Inference expense · Funding shortfall · Bootstrap no-sales stress — hypothetical · Bootstrap no-sales stress — hypothetical · Bootstrap no-sales stress — hypothetical</t>
        </is>
      </c>
      <c r="O577" s="28">
        <f>'NeatRescue — Assumptions &amp; simu'!B7</f>
        <v>0.05</v>
      </c>
    </row>
    <row r="578">
      <c r="A578" t="inlineStr" s="26">
        <is>
          <t xml:space="preserve">Inference cost per verification · Inference expense · Closing cash · Growth · Growth · Growth</t>
        </is>
      </c>
      <c r="O578" s="28">
        <f>'NeatRescue — Assumptions &amp; simu'!B7</f>
        <v>0.05</v>
      </c>
    </row>
    <row r="579">
      <c r="A579" t="inlineStr" s="26">
        <is>
          <t xml:space="preserve">Inference cost per verification · Inference expense · Funding shortfall · Bootstrap $5,000 — hypothetical · Bootstrap $5,000 — hypothetical · Bootstrap $5,000 — hypothetical</t>
        </is>
      </c>
      <c r="O579" s="28">
        <f>'NeatRescue — Assumptions &amp; simu'!B7</f>
        <v>0.05</v>
      </c>
    </row>
    <row r="580">
      <c r="A580" t="inlineStr" s="26">
        <is>
          <t xml:space="preserve">Inference cost per verification · Inference expense · Closing cash · Conservative · Conservative · Conservative</t>
        </is>
      </c>
      <c r="O580" s="28">
        <f>'NeatRescue — Assumptions &amp; simu'!B7</f>
        <v>0.05</v>
      </c>
    </row>
    <row r="581">
      <c r="A581" t="inlineStr" s="26">
        <is>
          <t xml:space="preserve">Logging cost per verification · Variable logging expense · Funding shortfall · Bootstrap no-sales stress — hypothetical · Bootstrap no-sales stress — hypothetical · Bootstrap no-sales stress — hypothetical</t>
        </is>
      </c>
      <c r="O581" s="28">
        <f>'NeatRescue — Assumptions &amp; simu'!B9</f>
        <v>0.005</v>
      </c>
    </row>
    <row r="582">
      <c r="A582" t="inlineStr" s="26">
        <is>
          <t xml:space="preserve">Logging cost per verification · Variable logging expense · Closing cash · Growth · Growth · Growth</t>
        </is>
      </c>
      <c r="O582" s="28">
        <f>'NeatRescue — Assumptions &amp; simu'!B9</f>
        <v>0.005</v>
      </c>
    </row>
    <row r="583">
      <c r="A583" t="inlineStr" s="26">
        <is>
          <t xml:space="preserve">Logging cost per verification · Variable logging expense · Funding shortfall · Bootstrap $5,000 — hypothetical · Bootstrap $5,000 — hypothetical · Bootstrap $5,000 — hypothetical</t>
        </is>
      </c>
      <c r="O583" s="28">
        <f>'NeatRescue — Assumptions &amp; simu'!B9</f>
        <v>0.005</v>
      </c>
    </row>
    <row r="584">
      <c r="A584" t="inlineStr" s="26">
        <is>
          <t xml:space="preserve">Logging cost per verification · Variable logging expense · Closing cash · Conservative · Conservative · Conservative</t>
        </is>
      </c>
      <c r="O584" s="28">
        <f>'NeatRescue — Assumptions &amp; simu'!B9</f>
        <v>0.005</v>
      </c>
    </row>
    <row r="585">
      <c r="A585" t="inlineStr" s="26">
        <is>
          <t xml:space="preserve">Payment processing rate · Payment processing expense · Funding shortfall · Bootstrap no-sales stress — hypothetical · Bootstrap no-sales stress — hypothetical · Bootstrap no-sales stress — hypothetical</t>
        </is>
      </c>
      <c r="O585" s="9">
        <f>'NeatRescue — Assumptions &amp; simu'!B18</f>
        <v>0.03</v>
      </c>
    </row>
    <row r="586">
      <c r="A586" t="inlineStr" s="26">
        <is>
          <t xml:space="preserve">Payment processing rate · Payment processing expense · Closing cash · Growth · Growth · Growth</t>
        </is>
      </c>
      <c r="O586" s="9">
        <f>'NeatRescue — Assumptions &amp; simu'!B18</f>
        <v>0.03</v>
      </c>
    </row>
    <row r="587">
      <c r="A587" t="inlineStr" s="26">
        <is>
          <t xml:space="preserve">Payment processing rate · Payment processing expense · Funding shortfall · Bootstrap $5,000 — hypothetical · Bootstrap $5,000 — hypothetical · Bootstrap $5,000 — hypothetical</t>
        </is>
      </c>
      <c r="O587" s="9">
        <f>'NeatRescue — Assumptions &amp; simu'!B18</f>
        <v>0.03</v>
      </c>
    </row>
    <row r="588">
      <c r="A588" t="inlineStr" s="26">
        <is>
          <t xml:space="preserve">Payment processing rate · Payment processing expense · Closing cash · Conservative · Conservative · Conservative</t>
        </is>
      </c>
      <c r="O588" s="9">
        <f>'NeatRescue — Assumptions &amp; simu'!B18</f>
        <v>0.03</v>
      </c>
    </row>
    <row r="589">
      <c r="A589" t="inlineStr" s="26">
        <is>
          <t xml:space="preserve">Support cost per customer</t>
        </is>
      </c>
      <c r="O589" s="16">
        <v>0</v>
      </c>
    </row>
    <row r="590" outlineLevel="1">
      <c r="A590" t="inlineStr" s="27">
        <is>
          <t xml:space="preserve">Support cost per customer &gt; Starter</t>
        </is>
      </c>
      <c r="O590" s="8">
        <f>'NeatRescue — Assumptions &amp; (2)'!F5</f>
        <v>2</v>
      </c>
    </row>
    <row r="591" outlineLevel="1">
      <c r="A591" t="inlineStr" s="27">
        <is>
          <t xml:space="preserve">Support cost per customer &gt; Team</t>
        </is>
      </c>
      <c r="O591" s="8">
        <f>'NeatRescue — Assumptions &amp; (2)'!F6</f>
        <v>12</v>
      </c>
    </row>
    <row r="592">
      <c r="A592" t="inlineStr" s="26">
        <is>
          <t xml:space="preserve">Support cost per customer</t>
        </is>
      </c>
      <c r="O592" s="16">
        <v>0</v>
      </c>
    </row>
    <row r="593" outlineLevel="1">
      <c r="A593" t="inlineStr" s="27">
        <is>
          <t xml:space="preserve">Support cost per customer &gt; Starter</t>
        </is>
      </c>
      <c r="O593" s="8">
        <f>'NeatRescue — Assumptions &amp; (2)'!F5</f>
        <v>2</v>
      </c>
    </row>
    <row r="594" outlineLevel="1">
      <c r="A594" t="inlineStr" s="27">
        <is>
          <t xml:space="preserve">Support cost per customer &gt; Team</t>
        </is>
      </c>
      <c r="O594" s="8">
        <f>'NeatRescue — Assumptions &amp; (2)'!F6</f>
        <v>12</v>
      </c>
    </row>
    <row r="595">
      <c r="A595" t="inlineStr" s="26">
        <is>
          <t xml:space="preserve">Support cost per customer</t>
        </is>
      </c>
      <c r="O595" s="16">
        <v>0</v>
      </c>
    </row>
    <row r="596" outlineLevel="1">
      <c r="A596" t="inlineStr" s="27">
        <is>
          <t xml:space="preserve">Support cost per customer &gt; Starter</t>
        </is>
      </c>
      <c r="O596" s="8">
        <f>'NeatRescue — Assumptions &amp; (2)'!F5</f>
        <v>2</v>
      </c>
    </row>
    <row r="597" outlineLevel="1">
      <c r="A597" t="inlineStr" s="27">
        <is>
          <t xml:space="preserve">Support cost per customer &gt; Team</t>
        </is>
      </c>
      <c r="O597" s="8">
        <f>'NeatRescue — Assumptions &amp; (2)'!F6</f>
        <v>12</v>
      </c>
    </row>
    <row r="598">
      <c r="A598" t="inlineStr" s="26">
        <is>
          <t xml:space="preserve">Support cost per customer</t>
        </is>
      </c>
      <c r="O598" s="16">
        <v>0</v>
      </c>
    </row>
    <row r="599" outlineLevel="1">
      <c r="A599" t="inlineStr" s="27">
        <is>
          <t xml:space="preserve">Support cost per customer &gt; Starter</t>
        </is>
      </c>
      <c r="O599" s="8">
        <f>'NeatRescue — Assumptions &amp; (2)'!F5</f>
        <v>2</v>
      </c>
    </row>
    <row r="600" outlineLevel="1">
      <c r="A600" t="inlineStr" s="27">
        <is>
          <t xml:space="preserve">Support cost per customer &gt; Team</t>
        </is>
      </c>
      <c r="O600" s="8">
        <f>'NeatRescue — Assumptions &amp; (2)'!F6</f>
        <v>12</v>
      </c>
    </row>
    <row r="601">
      <c r="A601" t="inlineStr" s="26">
        <is>
          <t xml:space="preserve">Security expense · Closing cash · Growth · Growth</t>
        </is>
      </c>
      <c r="B601" s="8">
        <f>IF('Model inputs'!B256="","",'Model inputs'!B256)</f>
        <v>75</v>
      </c>
      <c r="C601" s="8">
        <v>0</v>
      </c>
      <c r="D601" s="8">
        <f>IF('Model inputs'!D256="","",'Model inputs'!D256)</f>
        <v>75</v>
      </c>
      <c r="E601" s="8">
        <f>IF('Model inputs'!E256="","",'Model inputs'!E256)</f>
        <v>75</v>
      </c>
      <c r="F601" s="8">
        <f>IF('Model inputs'!F256="","",'Model inputs'!F256)</f>
        <v>75</v>
      </c>
      <c r="G601" s="8">
        <f>IF('Model inputs'!G256="","",'Model inputs'!G256)</f>
        <v>75</v>
      </c>
      <c r="H601" s="8">
        <f>IF('Model inputs'!H256="","",'Model inputs'!H256)</f>
        <v>75</v>
      </c>
      <c r="I601" s="8">
        <f>IF('Model inputs'!I256="","",'Model inputs'!I256)</f>
        <v>75</v>
      </c>
      <c r="J601" s="8">
        <f>IF('Model inputs'!J256="","",'Model inputs'!J256)</f>
        <v>75</v>
      </c>
      <c r="K601" s="8">
        <f>IF('Model inputs'!K256="","",'Model inputs'!K256)</f>
        <v>75</v>
      </c>
      <c r="L601" s="8">
        <f>IF('Model inputs'!L256="","",'Model inputs'!L256)</f>
        <v>75</v>
      </c>
      <c r="M601" s="8">
        <f>IF('Model inputs'!M256="","",'Model inputs'!M256)</f>
        <v>75</v>
      </c>
      <c r="N601" s="8">
        <f>IF('Model inputs'!N256="","",'Model inputs'!N256)</f>
        <v>75</v>
      </c>
    </row>
    <row r="602">
      <c r="A602" t="inlineStr" s="26">
        <is>
          <t xml:space="preserve">Security expense · Closing cash · Conservative · Conservative</t>
        </is>
      </c>
      <c r="B602" s="8">
        <f>IF('Model inputs'!B258="","",'Model inputs'!B258)</f>
        <v>75</v>
      </c>
      <c r="C602" s="8">
        <v>0</v>
      </c>
      <c r="D602" s="8">
        <f>IF('Model inputs'!D258="","",'Model inputs'!D258)</f>
        <v>75</v>
      </c>
      <c r="E602" s="8">
        <f>IF('Model inputs'!E258="","",'Model inputs'!E258)</f>
        <v>75</v>
      </c>
      <c r="F602" s="8">
        <f>IF('Model inputs'!F258="","",'Model inputs'!F258)</f>
        <v>75</v>
      </c>
      <c r="G602" s="8">
        <f>IF('Model inputs'!G258="","",'Model inputs'!G258)</f>
        <v>75</v>
      </c>
      <c r="H602" s="8">
        <f>IF('Model inputs'!H258="","",'Model inputs'!H258)</f>
        <v>75</v>
      </c>
      <c r="I602" s="8">
        <f>IF('Model inputs'!I258="","",'Model inputs'!I258)</f>
        <v>75</v>
      </c>
      <c r="J602" s="8">
        <f>IF('Model inputs'!J258="","",'Model inputs'!J258)</f>
        <v>75</v>
      </c>
      <c r="K602" s="8">
        <f>IF('Model inputs'!K258="","",'Model inputs'!K258)</f>
        <v>75</v>
      </c>
      <c r="L602" s="8">
        <f>IF('Model inputs'!L258="","",'Model inputs'!L258)</f>
        <v>75</v>
      </c>
      <c r="M602" s="8">
        <f>IF('Model inputs'!M258="","",'Model inputs'!M258)</f>
        <v>75</v>
      </c>
      <c r="N602" s="8">
        <f>IF('Model inputs'!N258="","",'Model inputs'!N258)</f>
        <v>75</v>
      </c>
    </row>
    <row r="604">
      <c r="A604" t="inlineStr" s="25">
        <is>
          <t xml:space="preserve">Dimensions</t>
        </is>
      </c>
    </row>
    <row r="605">
      <c r="A605" t="inlineStr" s="26">
        <is>
          <t xml:space="preserve">Plan</t>
        </is>
      </c>
      <c r="B605" t="inlineStr" s="29">
        <is>
          <t xml:space="preserve">Starter</t>
        </is>
      </c>
      <c r="C605" t="inlineStr" s="29">
        <is>
          <t xml:space="preserve">Team</t>
        </is>
      </c>
    </row>
  </sheetData>
  <mergeCells count="2">
    <mergeCell ref="A1:P1"/>
    <mergeCell ref="A2:P2"/>
  </mergeCells>
</worksheet>
</file>